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 firstSheet="1" activeTab="6"/>
  </bookViews>
  <sheets>
    <sheet name="1-先看懂逻辑" sheetId="1" r:id="rId1"/>
    <sheet name="2-品牌折扣率(去后台抄)" sheetId="2" r:id="rId2"/>
    <sheet name="3-餐饮折扣(填数自动算)" sheetId="3" r:id="rId3"/>
    <sheet name="4-通用券CPS专用验算" sheetId="4" r:id="rId4"/>
    <sheet name="5-24个场景答案(直接对)" sheetId="5" r:id="rId5"/>
    <sheet name="6-测试记录(边测边填)" sheetId="6" r:id="rId6"/>
    <sheet name="7-怎么用(先看)" sheetId="7" r:id="rId7"/>
  </sheets>
  <definedNames>
    <definedName name="_xlnm._FilterDatabase" localSheetId="4" hidden="1">'5-24个场景答案(直接对)'!$A$1:$N$25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<sst xmlns="http://schemas.openxmlformats.org/spreadsheetml/2006/main" count="406" uniqueCount="237">
  <si>
    <t>快乐羊毛分佣计算 —— 用大白话讲清楚，一句话：不同品牌有不同折扣率，平台赚的钱按比例分给各角色</t>
  </si>
  <si>
    <t>=== 分谁的钱？===</t>
  </si>
  <si>
    <t>餐饮折扣</t>
  </si>
  <si>
    <t>分的是用户实付金额（比如打8折付了80元，就分这80元）</t>
  </si>
  <si>
    <t>通用券/充值</t>
  </si>
  <si>
    <t>分的是第三方给平台的佣金（用户付9.5买券，第三方给我们2元佣金，分这2元）</t>
  </si>
  <si>
    <t>外卖红包/打车/家电</t>
  </si>
  <si>
    <t>分的是渠道给的推广费（运营用Excel录入多少就分多少）</t>
  </si>
  <si>
    <t>=== 分给谁？===</t>
  </si>
  <si>
    <t>平台</t>
  </si>
  <si>
    <t>我们公司自己留的</t>
  </si>
  <si>
    <t>代理商</t>
  </si>
  <si>
    <t>帮我们推广的合作公司</t>
  </si>
  <si>
    <t>分销员</t>
  </si>
  <si>
    <t>帮拉用户的个人，钱从代理商那里扣（和今夜到家一样）</t>
  </si>
  <si>
    <t>=== 怎么算？===</t>
  </si>
  <si>
    <t>第1步</t>
  </si>
  <si>
    <t>确定分佣基数（餐饮=实付金额，通用券=API佣金，CPS=录入佣金）</t>
  </si>
  <si>
    <t>第2步</t>
  </si>
  <si>
    <t>各角色佣金 = 基数 × 对应比例</t>
  </si>
  <si>
    <t>第3步</t>
  </si>
  <si>
    <t>分销员的钱从代理商那里扣，代理商实得 = 代理商佣金 - 分销员佣金</t>
  </si>
  <si>
    <t>=== 举个例子 ===</t>
  </si>
  <si>
    <t>张三烤肉店 8.5折，用户吃了100块</t>
  </si>
  <si>
    <t>实付 = 100 × 0.85 = 85元（这就是分佣基数）</t>
  </si>
  <si>
    <t>缺原价</t>
  </si>
  <si>
    <t>平台15% = 85 × 0.15 = 12.75元</t>
  </si>
  <si>
    <t>代理商10% = 85 × 0.10 = 8.50元</t>
  </si>
  <si>
    <t>分销员5% = 85 × 0.05 = 4.25元（从代理商8.50里扣）</t>
  </si>
  <si>
    <t>代理商实际到手 = 8.50 - 4.25 = 4.25元</t>
  </si>
  <si>
    <t>=== 和今夜到家对比 ===</t>
  </si>
  <si>
    <t>今夜到家：技师50% + 代理商42% + 平台8%，分销员从代理商42%里扣</t>
  </si>
  <si>
    <t>快乐羊毛：没有技师了，变成 平台 + 代理商 + 分销员，分销员也从代理商里扣</t>
  </si>
  <si>
    <t>核心逻辑一模一样：分销员的钱从代理商那扣</t>
  </si>
  <si>
    <t>品牌折扣率速查表（先去后台把真实数据抄到这里）</t>
  </si>
  <si>
    <t>品牌名称</t>
  </si>
  <si>
    <t>折扣率</t>
  </si>
  <si>
    <t>类型</t>
  </si>
  <si>
    <t>原价100付多少</t>
  </si>
  <si>
    <t>说明</t>
  </si>
  <si>
    <t>张三烤肉店</t>
  </si>
  <si>
    <t>8.5折</t>
  </si>
  <si>
    <t>人工辅助</t>
  </si>
  <si>
    <t>示例，去后台抄真实的</t>
  </si>
  <si>
    <t>李四火锅店</t>
  </si>
  <si>
    <t>8折</t>
  </si>
  <si>
    <t>示例</t>
  </si>
  <si>
    <t>网红茶饮</t>
  </si>
  <si>
    <t>7.5折</t>
  </si>
  <si>
    <t>系统直连</t>
  </si>
  <si>
    <t>某奶茶品牌</t>
  </si>
  <si>
    <t>麦当劳</t>
  </si>
  <si>
    <t>不涉及</t>
  </si>
  <si>
    <t>CPS直跳</t>
  </si>
  <si>
    <t>用户在官方付</t>
  </si>
  <si>
    <t>我们只拿渠道佣金</t>
  </si>
  <si>
    <t>肯德基</t>
  </si>
  <si>
    <t>同上</t>
  </si>
  <si>
    <t>星巴克</t>
  </si>
  <si>
    <t>美团通用券</t>
  </si>
  <si>
    <t>通用券</t>
  </si>
  <si>
    <t>用户付售价</t>
  </si>
  <si>
    <t>分佣基数=API佣金</t>
  </si>
  <si>
    <t>话费充值</t>
  </si>
  <si>
    <t>充值</t>
  </si>
  <si>
    <t>用户付面额</t>
  </si>
  <si>
    <t>（你去后台抄）</t>
  </si>
  <si>
    <t/>
  </si>
  <si>
    <t>万能验算模板 —— 你只填蓝色的格子，其他自动算</t>
  </si>
  <si>
    <t>【你填这些】</t>
  </si>
  <si>
    <t>填这里↓</t>
  </si>
  <si>
    <t>你测的哪个品牌</t>
  </si>
  <si>
    <t>折扣率（小数）</t>
  </si>
  <si>
    <t>8.5折填0.85，8折填0.80，7.5折填0.75</t>
  </si>
  <si>
    <t>用户消费原价</t>
  </si>
  <si>
    <t>用户在店里吃了多少钱</t>
  </si>
  <si>
    <t>投入成本</t>
  </si>
  <si>
    <t>不确定就填0，问开发</t>
  </si>
  <si>
    <t>平台比例%</t>
  </si>
  <si>
    <t>去后台"分佣配置"里看</t>
  </si>
  <si>
    <t>代理商比例%</t>
  </si>
  <si>
    <t>去后台看</t>
  </si>
  <si>
    <t>一级分销员比例%</t>
  </si>
  <si>
    <t>没有分销员就填0</t>
  </si>
  <si>
    <t>二级分销员比例%</t>
  </si>
  <si>
    <t>没有就填0</t>
  </si>
  <si>
    <t>【自动计算↓不用动】</t>
  </si>
  <si>
    <t>怎么算出来的</t>
  </si>
  <si>
    <t>实付金额</t>
  </si>
  <si>
    <t>= 原价 × 折扣率</t>
  </si>
  <si>
    <t>优惠金额</t>
  </si>
  <si>
    <t>= 原价 - 实付</t>
  </si>
  <si>
    <t>分佣基数(利润)</t>
  </si>
  <si>
    <t>= 实付 - 投入成本</t>
  </si>
  <si>
    <t>平台佣金</t>
  </si>
  <si>
    <t>= 基数 × 平台%</t>
  </si>
  <si>
    <t>代理商总佣金</t>
  </si>
  <si>
    <t>= 基数 × 代理商%</t>
  </si>
  <si>
    <t>一级分销员佣金</t>
  </si>
  <si>
    <t>= 基数 × 一级%</t>
  </si>
  <si>
    <t>二级分销员佣金</t>
  </si>
  <si>
    <t>= 基数 × 二级%</t>
  </si>
  <si>
    <t>代理商实际到手</t>
  </si>
  <si>
    <t>= 代理商总 - 一级 - 二级</t>
  </si>
  <si>
    <t>【自动校验】</t>
  </si>
  <si>
    <t>分佣总和</t>
  </si>
  <si>
    <t>所有人佣金加一起</t>
  </si>
  <si>
    <t>分佣没超利润？</t>
  </si>
  <si>
    <t>必须显示✓</t>
  </si>
  <si>
    <t>代理商实得没变负数？</t>
  </si>
  <si>
    <t>通用劵/充值/CPS</t>
  </si>
  <si>
    <t>通用券/充值/CPS专用验算（这些业务分佣基数=API佣金，不是用户付的钱）</t>
  </si>
  <si>
    <t>业务类型</t>
  </si>
  <si>
    <t>通用券/充值/外卖红包/打车/家电/购物返利</t>
  </si>
  <si>
    <t>品牌/商品名</t>
  </si>
  <si>
    <t>美团通用券10元</t>
  </si>
  <si>
    <t>用户支付金额</t>
  </si>
  <si>
    <t>用户实际掏的钱（仅参考，不参与分佣计算）</t>
  </si>
  <si>
    <t>API佣金/录入佣金</t>
  </si>
  <si>
    <t>这个才是分佣基数！第三方给的佣金或Excel录入的佣金</t>
  </si>
  <si>
    <t>【自动计算↓】</t>
  </si>
  <si>
    <t>怎么算的</t>
  </si>
  <si>
    <t>分佣基数</t>
  </si>
  <si>
    <t>= API佣金（就是上面填的那个数）</t>
  </si>
  <si>
    <t>= 代理商总 - 一级分销</t>
  </si>
  <si>
    <t>校验</t>
  </si>
  <si>
    <t>编号</t>
  </si>
  <si>
    <t>品牌</t>
  </si>
  <si>
    <t>折扣</t>
  </si>
  <si>
    <t>原价</t>
  </si>
  <si>
    <t>实付/基数</t>
  </si>
  <si>
    <t>平台%</t>
  </si>
  <si>
    <t>代理商%</t>
  </si>
  <si>
    <t>一级%</t>
  </si>
  <si>
    <t>代理商总</t>
  </si>
  <si>
    <t>一级佣金</t>
  </si>
  <si>
    <t>代理商实得</t>
  </si>
  <si>
    <t>S01</t>
  </si>
  <si>
    <t>张三烤肉</t>
  </si>
  <si>
    <t>S02</t>
  </si>
  <si>
    <t>S03</t>
  </si>
  <si>
    <t>人工辅助(无分销)</t>
  </si>
  <si>
    <t>无分销员→代理商拿完整</t>
  </si>
  <si>
    <t>S04</t>
  </si>
  <si>
    <t>李四火锅</t>
  </si>
  <si>
    <t>S05</t>
  </si>
  <si>
    <t>S06</t>
  </si>
  <si>
    <t>人工辅助(小数)</t>
  </si>
  <si>
    <t>注意小数精度</t>
  </si>
  <si>
    <t>S07</t>
  </si>
  <si>
    <t>S08</t>
  </si>
  <si>
    <t>S09</t>
  </si>
  <si>
    <t>某奶茶</t>
  </si>
  <si>
    <t>S10</t>
  </si>
  <si>
    <t>直连(全额退款后)</t>
  </si>
  <si>
    <t>退款后全部归零</t>
  </si>
  <si>
    <t>S11</t>
  </si>
  <si>
    <t>直连(退一半后)</t>
  </si>
  <si>
    <t>退一半→佣金减半</t>
  </si>
  <si>
    <t>S12</t>
  </si>
  <si>
    <t>—</t>
  </si>
  <si>
    <t>基数=API佣金2元，不是9.5元！</t>
  </si>
  <si>
    <t>S13</t>
  </si>
  <si>
    <t>美团通用券50元</t>
  </si>
  <si>
    <t>基数=API佣金5元</t>
  </si>
  <si>
    <t>S14</t>
  </si>
  <si>
    <t>话费充值50元</t>
  </si>
  <si>
    <t>基数=API佣金1.50元</t>
  </si>
  <si>
    <t>S15</t>
  </si>
  <si>
    <t>爱奇艺月卡</t>
  </si>
  <si>
    <t>S16</t>
  </si>
  <si>
    <t>CPS品牌直跳</t>
  </si>
  <si>
    <t>基数=渠道回传佣金4元</t>
  </si>
  <si>
    <t>S17</t>
  </si>
  <si>
    <t>美团外卖红包</t>
  </si>
  <si>
    <t>CPS外卖红包</t>
  </si>
  <si>
    <t>基数=Excel录入3元</t>
  </si>
  <si>
    <t>S18</t>
  </si>
  <si>
    <t>滴滴打车</t>
  </si>
  <si>
    <t>CPS打车</t>
  </si>
  <si>
    <t>S19</t>
  </si>
  <si>
    <t>京东冰箱</t>
  </si>
  <si>
    <t>CPS家电</t>
  </si>
  <si>
    <t>基数=联盟佣金45元</t>
  </si>
  <si>
    <t>S20</t>
  </si>
  <si>
    <t>淘宝返利</t>
  </si>
  <si>
    <t>购物返利</t>
  </si>
  <si>
    <t>基数=联盟佣金8元</t>
  </si>
  <si>
    <t>S21</t>
  </si>
  <si>
    <t>极小金额</t>
  </si>
  <si>
    <t>S22</t>
  </si>
  <si>
    <t>大额</t>
  </si>
  <si>
    <t>S23</t>
  </si>
  <si>
    <t>(对比)今夜到家168元</t>
  </si>
  <si>
    <t>今夜到家参考</t>
  </si>
  <si>
    <t>技师另拿84(50%)不在此表</t>
  </si>
  <si>
    <t>S24</t>
  </si>
  <si>
    <t>(对比)今夜到家+分销</t>
  </si>
  <si>
    <t>分销5%=8.40从代理商扣</t>
  </si>
  <si>
    <t>序号</t>
  </si>
  <si>
    <t>日期</t>
  </si>
  <si>
    <t>订单号</t>
  </si>
  <si>
    <t>应得-平台</t>
  </si>
  <si>
    <t>应得-代理商</t>
  </si>
  <si>
    <t>应得-一级</t>
  </si>
  <si>
    <t>应得-代理实得</t>
  </si>
  <si>
    <t>实际-平台</t>
  </si>
  <si>
    <t>实际-代理商</t>
  </si>
  <si>
    <t>实际-一级</t>
  </si>
  <si>
    <t>结果</t>
  </si>
  <si>
    <t>Bug编号</t>
  </si>
  <si>
    <t>怎么用这个表？</t>
  </si>
  <si>
    <t>=== 测餐饮折扣时 ===</t>
  </si>
  <si>
    <t>1. 打开Sheet3"万能验算"</t>
  </si>
  <si>
    <t>2. 填入：品牌名、折扣率、原价、成本(不确定填0)、各比例</t>
  </si>
  <si>
    <t>3. 下面自动算出：实付多少、各角色佣金多少</t>
  </si>
  <si>
    <t>4. 去后台对比，一样就过，不一样就提Bug</t>
  </si>
  <si>
    <t>=== 测通用券/充值/CPS时 ===</t>
  </si>
  <si>
    <t>1. 打开Sheet4"通用券CPS专用验算"</t>
  </si>
  <si>
    <t>2. 填入：API佣金(或Excel录入佣金)、各比例</t>
  </si>
  <si>
    <t>3. 下面自动算出各角色佣金</t>
  </si>
  <si>
    <t>4. 去后台对比</t>
  </si>
  <si>
    <t>=== 不想算直接对答案时 ===</t>
  </si>
  <si>
    <t>1. 打开Sheet5"24个场景答案"</t>
  </si>
  <si>
    <t>2. 找到和你测试场景最接近的那个</t>
  </si>
  <si>
    <t>3. 直接看答案</t>
  </si>
  <si>
    <t>=== 批量测试记录时 ===</t>
  </si>
  <si>
    <t>1. 打开Sheet6"测试记录"</t>
  </si>
  <si>
    <t>2. 每测一笔填一行：日期、品牌、订单号、实付、比例</t>
  </si>
  <si>
    <t>3. "应得"佣金自动算出来</t>
  </si>
  <si>
    <t>4. 你把后台实际数字填到"实际"列</t>
  </si>
  <si>
    <t>5. 最后一列自动显示✓OK或✗不对</t>
  </si>
  <si>
    <t>=== 开始之前要做的事 ===</t>
  </si>
  <si>
    <t>1. 登录后台 https://red.jinyedaojia.com/ (admin/admin123)</t>
  </si>
  <si>
    <t>2. 去"品牌折扣管理"记录每个品牌的折扣率</t>
  </si>
  <si>
    <t>3. 去"分佣配置"记录平台%、代理商%、分销员%</t>
  </si>
  <si>
    <t>4. 问开发：餐饮订单的成本是多少？不确定先按0算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</si>
</sst>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7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wrapText="1"/>
    </xf>
    <xf numFmtId="0" fontId="0" fillId="0" borderId="0" xfId="0" applyNumberFormat="1" applyAlignment="1">
      <alignment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/>
    <xf numFmtId="0" fontId="1" fillId="0" borderId="2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12" workbookViewId="0">
      <selection activeCell="D28" sqref="D28"/>
    </sheetView>
  </sheetViews>
  <sheetFormatPr defaultColWidth="9" defaultRowHeight="13.5" outlineLevelCol="2"/>
  <cols>
    <col min="1" max="1" width="51.375" style="20" customWidth="1"/>
    <col min="2" max="2" width="70.8333333333333" style="20" customWidth="1"/>
    <col min="3" max="16384" width="9" style="20"/>
  </cols>
  <sheetData>
    <row r="1" s="20" customFormat="1" spans="1:2">
      <c r="A1" s="21" t="s">
        <v>0</v>
      </c>
      <c r="B1" s="22"/>
    </row>
    <row r="2" s="20" customFormat="1" spans="1:2">
      <c r="A2" s="23"/>
      <c r="B2" s="24"/>
    </row>
    <row r="3" s="20" customFormat="1" spans="1:2">
      <c r="A3" s="23"/>
      <c r="B3" s="24"/>
    </row>
    <row r="4" s="20" customFormat="1" spans="1:2">
      <c r="A4" s="25"/>
      <c r="B4" s="26"/>
    </row>
    <row r="5" ht="20" customHeight="1" spans="1:2">
      <c r="A5" s="7" t="s">
        <v>1</v>
      </c>
      <c r="B5" s="7"/>
    </row>
    <row r="6" ht="20" customHeight="1" spans="1:2">
      <c r="A6" s="7" t="s">
        <v>2</v>
      </c>
      <c r="B6" s="7" t="s">
        <v>3</v>
      </c>
    </row>
    <row r="7" ht="20" customHeight="1" spans="1:2">
      <c r="A7" s="7" t="s">
        <v>4</v>
      </c>
      <c r="B7" s="7" t="s">
        <v>5</v>
      </c>
    </row>
    <row r="8" ht="20" customHeight="1" spans="1:2">
      <c r="A8" s="7" t="s">
        <v>6</v>
      </c>
      <c r="B8" s="7" t="s">
        <v>7</v>
      </c>
    </row>
    <row r="9" ht="20" customHeight="1" spans="1:2">
      <c r="A9" s="7"/>
      <c r="B9" s="7"/>
    </row>
    <row r="10" ht="20" customHeight="1" spans="1:2">
      <c r="A10" s="7" t="s">
        <v>8</v>
      </c>
      <c r="B10" s="7"/>
    </row>
    <row r="11" ht="20" customHeight="1" spans="1:2">
      <c r="A11" s="7" t="s">
        <v>9</v>
      </c>
      <c r="B11" s="7" t="s">
        <v>10</v>
      </c>
    </row>
    <row r="12" ht="20" customHeight="1" spans="1:2">
      <c r="A12" s="7" t="s">
        <v>11</v>
      </c>
      <c r="B12" s="7" t="s">
        <v>12</v>
      </c>
    </row>
    <row r="13" ht="20" customHeight="1" spans="1:2">
      <c r="A13" s="7" t="s">
        <v>13</v>
      </c>
      <c r="B13" s="7" t="s">
        <v>14</v>
      </c>
    </row>
    <row r="14" ht="20" customHeight="1" spans="1:2">
      <c r="A14" s="7"/>
      <c r="B14" s="7"/>
    </row>
    <row r="15" ht="20" customHeight="1" spans="1:2">
      <c r="A15" s="7" t="s">
        <v>15</v>
      </c>
      <c r="B15" s="7"/>
    </row>
    <row r="16" ht="20" customHeight="1" spans="1:2">
      <c r="A16" s="7" t="s">
        <v>16</v>
      </c>
      <c r="B16" s="7" t="s">
        <v>17</v>
      </c>
    </row>
    <row r="17" ht="20" customHeight="1" spans="1:3">
      <c r="A17" s="7" t="s">
        <v>18</v>
      </c>
      <c r="B17" s="7" t="s">
        <v>19</v>
      </c>
    </row>
    <row r="18" ht="20" customHeight="1" spans="1:3">
      <c r="A18" s="7" t="s">
        <v>20</v>
      </c>
      <c r="B18" s="7" t="s">
        <v>21</v>
      </c>
    </row>
    <row r="19" ht="20" customHeight="1" spans="1:3">
      <c r="A19" s="7"/>
      <c r="B19" s="7"/>
    </row>
    <row r="20" ht="20" customHeight="1" spans="1:3">
      <c r="A20" s="7" t="s">
        <v>22</v>
      </c>
      <c r="B20" s="7"/>
    </row>
    <row r="21" ht="20" customHeight="1" spans="1:3">
      <c r="A21" s="7" t="s">
        <v>23</v>
      </c>
      <c r="B21" s="7"/>
    </row>
    <row r="22" ht="20" customHeight="1" spans="1:3">
      <c r="A22" s="7" t="s">
        <v>24</v>
      </c>
      <c r="B22" s="7"/>
      <c r="C22" s="20" t="s">
        <v>25</v>
      </c>
    </row>
    <row r="23" ht="20" customHeight="1" spans="1:3">
      <c r="A23" s="7" t="s">
        <v>26</v>
      </c>
      <c r="B23" s="7"/>
    </row>
    <row r="24" ht="20" customHeight="1" spans="1:3">
      <c r="A24" s="7" t="s">
        <v>27</v>
      </c>
      <c r="B24" s="7"/>
    </row>
    <row r="25" ht="20" customHeight="1" spans="1:3">
      <c r="A25" s="7" t="s">
        <v>28</v>
      </c>
      <c r="B25" s="7"/>
    </row>
    <row r="26" ht="20" customHeight="1" spans="1:3">
      <c r="A26" s="7" t="s">
        <v>29</v>
      </c>
      <c r="B26" s="7"/>
    </row>
    <row r="27" ht="20" customHeight="1" spans="1:3">
      <c r="A27" s="7"/>
      <c r="B27" s="7"/>
    </row>
    <row r="28" ht="20" customHeight="1" spans="1:3">
      <c r="A28" s="7" t="s">
        <v>30</v>
      </c>
      <c r="B28" s="7"/>
    </row>
    <row r="29" ht="20" customHeight="1" spans="1:3">
      <c r="A29" s="7" t="s">
        <v>31</v>
      </c>
      <c r="B29" s="7"/>
    </row>
    <row r="30" ht="39" customHeight="1" spans="1:3">
      <c r="A30" s="7" t="s">
        <v>32</v>
      </c>
      <c r="B30" s="7"/>
    </row>
    <row r="31" ht="20" customHeight="1" spans="1:3">
      <c r="A31" s="7" t="s">
        <v>33</v>
      </c>
      <c r="B31" s="7"/>
    </row>
  </sheetData>
  <mergeCells count="1">
    <mergeCell ref="A1:B4"/>
  </mergeCells>
  <pageMargins left="0.75" right="0.75" top="1" bottom="1" header="0.5" footer="0.5"/>
  <headerFooter/>
  <ignoredErrors>
    <ignoredError sqref="A31:B31 B30 A4:B29 B3 A2:B2 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pane ySplit="3" topLeftCell="A4" activePane="bottomLeft" state="frozen"/>
      <selection/>
      <selection pane="bottomLeft" activeCell="D9" sqref="D9"/>
    </sheetView>
  </sheetViews>
  <sheetFormatPr defaultColWidth="9" defaultRowHeight="13.5" outlineLevelCol="4"/>
  <cols>
    <col min="1" max="1" width="16.8333333333333" style="8" customWidth="1"/>
    <col min="2" max="2" width="8.83333333333333" style="8" customWidth="1"/>
    <col min="3" max="3" width="12.8333333333333" style="8" customWidth="1"/>
    <col min="4" max="4" width="14.8333333333333" style="8" customWidth="1"/>
    <col min="5" max="5" width="35.8333333333333" style="8" customWidth="1"/>
    <col min="6" max="16384" width="9" style="8"/>
  </cols>
  <sheetData>
    <row r="1" spans="1:5">
      <c r="A1" s="14" t="s">
        <v>34</v>
      </c>
      <c r="B1" s="15"/>
      <c r="C1" s="15"/>
      <c r="D1" s="15"/>
      <c r="E1" s="16"/>
    </row>
    <row r="2" spans="1:5">
      <c r="A2" s="17"/>
      <c r="B2" s="18"/>
      <c r="C2" s="18"/>
      <c r="D2" s="18"/>
      <c r="E2" s="19"/>
    </row>
    <row r="3" ht="24" customHeight="1" spans="1:5">
      <c r="A3" s="7" t="s">
        <v>35</v>
      </c>
      <c r="B3" s="7" t="s">
        <v>36</v>
      </c>
      <c r="C3" s="7" t="s">
        <v>37</v>
      </c>
      <c r="D3" s="7" t="s">
        <v>38</v>
      </c>
      <c r="E3" s="7" t="s">
        <v>39</v>
      </c>
    </row>
    <row r="4" ht="24" customHeight="1" spans="1:5">
      <c r="A4" s="7" t="s">
        <v>40</v>
      </c>
      <c r="B4" s="7" t="s">
        <v>41</v>
      </c>
      <c r="C4" s="7" t="s">
        <v>42</v>
      </c>
      <c r="D4" s="7">
        <v>85</v>
      </c>
      <c r="E4" s="7" t="s">
        <v>43</v>
      </c>
    </row>
    <row r="5" ht="24" customHeight="1" spans="1:5">
      <c r="A5" s="7" t="s">
        <v>44</v>
      </c>
      <c r="B5" s="7" t="s">
        <v>45</v>
      </c>
      <c r="C5" s="7" t="s">
        <v>42</v>
      </c>
      <c r="D5" s="7">
        <v>80</v>
      </c>
      <c r="E5" s="7" t="s">
        <v>46</v>
      </c>
    </row>
    <row r="6" ht="24" customHeight="1" spans="1:5">
      <c r="A6" s="7" t="s">
        <v>47</v>
      </c>
      <c r="B6" s="7" t="s">
        <v>48</v>
      </c>
      <c r="C6" s="7" t="s">
        <v>49</v>
      </c>
      <c r="D6" s="7">
        <v>75</v>
      </c>
      <c r="E6" s="7" t="s">
        <v>46</v>
      </c>
    </row>
    <row r="7" ht="24" customHeight="1" spans="1:5">
      <c r="A7" s="7" t="s">
        <v>50</v>
      </c>
      <c r="B7" s="7" t="s">
        <v>45</v>
      </c>
      <c r="C7" s="7" t="s">
        <v>49</v>
      </c>
      <c r="D7" s="7">
        <v>80</v>
      </c>
      <c r="E7" s="7" t="s">
        <v>46</v>
      </c>
    </row>
    <row r="8" ht="24" customHeight="1" spans="1:5">
      <c r="A8" s="7" t="s">
        <v>51</v>
      </c>
      <c r="B8" s="7" t="s">
        <v>52</v>
      </c>
      <c r="C8" s="7" t="s">
        <v>53</v>
      </c>
      <c r="D8" s="7" t="s">
        <v>54</v>
      </c>
      <c r="E8" s="7" t="s">
        <v>55</v>
      </c>
    </row>
    <row r="9" ht="24" customHeight="1" spans="1:5">
      <c r="A9" s="7" t="s">
        <v>56</v>
      </c>
      <c r="B9" s="7" t="s">
        <v>52</v>
      </c>
      <c r="C9" s="7" t="s">
        <v>53</v>
      </c>
      <c r="D9" s="7" t="s">
        <v>54</v>
      </c>
      <c r="E9" s="7" t="s">
        <v>57</v>
      </c>
    </row>
    <row r="10" ht="24" customHeight="1" spans="1:5">
      <c r="A10" s="7" t="s">
        <v>58</v>
      </c>
      <c r="B10" s="7" t="s">
        <v>52</v>
      </c>
      <c r="C10" s="7" t="s">
        <v>53</v>
      </c>
      <c r="D10" s="7" t="s">
        <v>54</v>
      </c>
      <c r="E10" s="7" t="s">
        <v>57</v>
      </c>
    </row>
    <row r="11" ht="24" customHeight="1" spans="1:5">
      <c r="A11" s="7" t="s">
        <v>59</v>
      </c>
      <c r="B11" s="7" t="s">
        <v>52</v>
      </c>
      <c r="C11" s="7" t="s">
        <v>60</v>
      </c>
      <c r="D11" s="7" t="s">
        <v>61</v>
      </c>
      <c r="E11" s="7" t="s">
        <v>62</v>
      </c>
    </row>
    <row r="12" ht="24" customHeight="1" spans="1:5">
      <c r="A12" s="7" t="s">
        <v>63</v>
      </c>
      <c r="B12" s="7" t="s">
        <v>52</v>
      </c>
      <c r="C12" s="7" t="s">
        <v>64</v>
      </c>
      <c r="D12" s="7" t="s">
        <v>65</v>
      </c>
      <c r="E12" s="7" t="s">
        <v>62</v>
      </c>
    </row>
    <row r="13" ht="24" customHeight="1" spans="1:5">
      <c r="A13" s="7" t="s">
        <v>66</v>
      </c>
      <c r="B13" s="7" t="s">
        <v>67</v>
      </c>
      <c r="C13" s="7" t="s">
        <v>67</v>
      </c>
      <c r="D13" s="7" t="s">
        <v>67</v>
      </c>
      <c r="E13" s="7" t="s">
        <v>67</v>
      </c>
    </row>
    <row r="14" ht="24" customHeight="1" spans="1:5">
      <c r="A14" s="7" t="s">
        <v>66</v>
      </c>
      <c r="B14" s="7" t="s">
        <v>67</v>
      </c>
      <c r="C14" s="7" t="s">
        <v>67</v>
      </c>
      <c r="D14" s="7" t="s">
        <v>67</v>
      </c>
      <c r="E14" s="7" t="s">
        <v>67</v>
      </c>
    </row>
    <row r="15" ht="24" customHeight="1" spans="1:5">
      <c r="A15" s="7" t="s">
        <v>66</v>
      </c>
      <c r="B15" s="7" t="s">
        <v>67</v>
      </c>
      <c r="C15" s="7" t="s">
        <v>67</v>
      </c>
      <c r="D15" s="7" t="s">
        <v>67</v>
      </c>
      <c r="E15" s="7" t="s">
        <v>67</v>
      </c>
    </row>
  </sheetData>
  <mergeCells count="1">
    <mergeCell ref="A1:E2"/>
  </mergeCells>
  <pageMargins left="0.75" right="0.75" top="1" bottom="1" header="0.5" footer="0.5"/>
  <headerFooter/>
  <ignoredErrors>
    <ignoredError sqref="A1:E5 A6 E6 A7:E11 A12:C12 A13:E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pane ySplit="2" topLeftCell="A8" activePane="bottomLeft" state="frozen"/>
      <selection/>
      <selection pane="bottomLeft" activeCell="G14" sqref="G14"/>
    </sheetView>
  </sheetViews>
  <sheetFormatPr defaultColWidth="9" defaultRowHeight="14.25" outlineLevelCol="3"/>
  <cols>
    <col min="1" max="4" width="29.5" style="12" customWidth="1"/>
    <col min="5" max="16384" width="9" style="12"/>
  </cols>
  <sheetData>
    <row r="1" s="11" customFormat="1" ht="28" customHeight="1" spans="1:4">
      <c r="A1" s="13" t="s">
        <v>2</v>
      </c>
      <c r="B1" s="13"/>
      <c r="C1" s="13"/>
      <c r="D1" s="13"/>
    </row>
    <row r="2" s="11" customFormat="1" ht="20" customHeight="1" spans="1:4">
      <c r="A2" s="13" t="s">
        <v>68</v>
      </c>
      <c r="B2" s="13"/>
      <c r="C2" s="13"/>
      <c r="D2" s="13"/>
    </row>
    <row r="3" ht="20" customHeight="1" spans="1:4">
      <c r="A3" s="7"/>
      <c r="B3" s="7"/>
      <c r="C3" s="7"/>
      <c r="D3" s="7"/>
    </row>
    <row r="4" ht="20" customHeight="1" spans="1:4">
      <c r="A4" s="10" t="s">
        <v>69</v>
      </c>
      <c r="B4" s="10" t="s">
        <v>70</v>
      </c>
      <c r="C4" s="10" t="s">
        <v>67</v>
      </c>
      <c r="D4" s="10" t="s">
        <v>39</v>
      </c>
    </row>
    <row r="5" ht="20" customHeight="1" spans="1:4">
      <c r="A5" s="7" t="s">
        <v>35</v>
      </c>
      <c r="B5" s="7" t="s">
        <v>40</v>
      </c>
      <c r="C5" s="7" t="s">
        <v>67</v>
      </c>
      <c r="D5" s="7" t="s">
        <v>71</v>
      </c>
    </row>
    <row r="6" ht="36" customHeight="1" spans="1:4">
      <c r="A6" s="7" t="s">
        <v>72</v>
      </c>
      <c r="B6" s="7">
        <v>0.75</v>
      </c>
      <c r="C6" s="7" t="s">
        <v>67</v>
      </c>
      <c r="D6" s="7" t="s">
        <v>73</v>
      </c>
    </row>
    <row r="7" ht="20" customHeight="1" spans="1:4">
      <c r="A7" s="7" t="s">
        <v>74</v>
      </c>
      <c r="B7" s="7">
        <v>200</v>
      </c>
      <c r="C7" s="7" t="s">
        <v>67</v>
      </c>
      <c r="D7" s="7" t="s">
        <v>75</v>
      </c>
    </row>
    <row r="8" ht="20" customHeight="1" spans="1:4">
      <c r="A8" s="7" t="s">
        <v>76</v>
      </c>
      <c r="B8" s="7">
        <v>0</v>
      </c>
      <c r="C8" s="7" t="s">
        <v>67</v>
      </c>
      <c r="D8" s="7" t="s">
        <v>77</v>
      </c>
    </row>
    <row r="9" ht="20" customHeight="1" spans="1:4">
      <c r="A9" s="7" t="s">
        <v>78</v>
      </c>
      <c r="B9" s="7">
        <v>15</v>
      </c>
      <c r="C9" s="7" t="s">
        <v>67</v>
      </c>
      <c r="D9" s="7" t="s">
        <v>79</v>
      </c>
    </row>
    <row r="10" ht="20" customHeight="1" spans="1:4">
      <c r="A10" s="7" t="s">
        <v>80</v>
      </c>
      <c r="B10" s="7">
        <v>10</v>
      </c>
      <c r="C10" s="7" t="s">
        <v>67</v>
      </c>
      <c r="D10" s="7" t="s">
        <v>81</v>
      </c>
    </row>
    <row r="11" ht="20" customHeight="1" spans="1:4">
      <c r="A11" s="7" t="s">
        <v>82</v>
      </c>
      <c r="B11" s="7">
        <v>5</v>
      </c>
      <c r="C11" s="7" t="s">
        <v>67</v>
      </c>
      <c r="D11" s="7" t="s">
        <v>83</v>
      </c>
    </row>
    <row r="12" ht="20" customHeight="1" spans="1:4">
      <c r="A12" s="7" t="s">
        <v>84</v>
      </c>
      <c r="B12" s="7">
        <v>0</v>
      </c>
      <c r="C12" s="7" t="s">
        <v>67</v>
      </c>
      <c r="D12" s="7" t="s">
        <v>85</v>
      </c>
    </row>
    <row r="13" ht="20" customHeight="1" spans="1:4">
      <c r="A13" s="7"/>
      <c r="B13" s="7"/>
      <c r="C13" s="7"/>
      <c r="D13" s="7"/>
    </row>
    <row r="14" ht="20" customHeight="1" spans="1:4">
      <c r="A14" s="7" t="s">
        <v>86</v>
      </c>
      <c r="B14" s="7" t="s">
        <v>67</v>
      </c>
      <c r="C14" s="7" t="s">
        <v>67</v>
      </c>
      <c r="D14" s="7" t="s">
        <v>87</v>
      </c>
    </row>
    <row r="15" ht="20" customHeight="1" spans="1:4">
      <c r="A15" s="7" t="s">
        <v>88</v>
      </c>
      <c r="B15" s="7">
        <f>B7*B6</f>
        <v>150</v>
      </c>
      <c r="C15" s="7" t="s">
        <v>67</v>
      </c>
      <c r="D15" s="7" t="s">
        <v>89</v>
      </c>
    </row>
    <row r="16" ht="20" customHeight="1" spans="1:4">
      <c r="A16" s="7" t="s">
        <v>90</v>
      </c>
      <c r="B16" s="7">
        <f>B7-B15</f>
        <v>50</v>
      </c>
      <c r="C16" s="7" t="s">
        <v>67</v>
      </c>
      <c r="D16" s="7" t="s">
        <v>91</v>
      </c>
    </row>
    <row r="17" ht="20" customHeight="1" spans="1:4">
      <c r="A17" s="7" t="s">
        <v>92</v>
      </c>
      <c r="B17" s="7">
        <f>B15-B8</f>
        <v>150</v>
      </c>
      <c r="C17" s="7" t="s">
        <v>67</v>
      </c>
      <c r="D17" s="7" t="s">
        <v>93</v>
      </c>
    </row>
    <row r="18" ht="20" customHeight="1" spans="1:4">
      <c r="A18" s="7"/>
      <c r="B18" s="7"/>
      <c r="C18" s="7"/>
      <c r="D18" s="7"/>
    </row>
    <row r="19" ht="20" customHeight="1" spans="1:4">
      <c r="A19" s="7" t="s">
        <v>94</v>
      </c>
      <c r="B19" s="7">
        <f>ROUND(B17*B9/100,2)</f>
        <v>22.5</v>
      </c>
      <c r="C19" s="7" t="s">
        <v>67</v>
      </c>
      <c r="D19" s="7" t="s">
        <v>95</v>
      </c>
    </row>
    <row r="20" ht="20" customHeight="1" spans="1:4">
      <c r="A20" s="7" t="s">
        <v>96</v>
      </c>
      <c r="B20" s="7">
        <f>ROUND(B17*B10/100,2)</f>
        <v>15</v>
      </c>
      <c r="C20" s="7" t="s">
        <v>67</v>
      </c>
      <c r="D20" s="7" t="s">
        <v>97</v>
      </c>
    </row>
    <row r="21" ht="20" customHeight="1" spans="1:4">
      <c r="A21" s="7" t="s">
        <v>98</v>
      </c>
      <c r="B21" s="7">
        <f>ROUND(B17*B11/100,2)</f>
        <v>7.5</v>
      </c>
      <c r="C21" s="7" t="s">
        <v>67</v>
      </c>
      <c r="D21" s="7" t="s">
        <v>99</v>
      </c>
    </row>
    <row r="22" ht="20" customHeight="1" spans="1:4">
      <c r="A22" s="7" t="s">
        <v>100</v>
      </c>
      <c r="B22" s="7">
        <f>ROUND(B17*B12/100,2)</f>
        <v>0</v>
      </c>
      <c r="C22" s="7" t="s">
        <v>67</v>
      </c>
      <c r="D22" s="7" t="s">
        <v>101</v>
      </c>
    </row>
    <row r="23" ht="20" customHeight="1" spans="1:4">
      <c r="A23" s="7" t="s">
        <v>102</v>
      </c>
      <c r="B23" s="7">
        <f>B20-B21-B22</f>
        <v>7.5</v>
      </c>
      <c r="C23" s="7" t="s">
        <v>67</v>
      </c>
      <c r="D23" s="7" t="s">
        <v>103</v>
      </c>
    </row>
    <row r="24" ht="20" customHeight="1" spans="1:4">
      <c r="A24" s="7"/>
      <c r="B24" s="7"/>
      <c r="C24" s="7"/>
      <c r="D24" s="7"/>
    </row>
    <row r="25" ht="20" customHeight="1" spans="1:4">
      <c r="A25" s="7" t="s">
        <v>104</v>
      </c>
      <c r="B25" s="7"/>
      <c r="C25" s="7"/>
      <c r="D25" s="7"/>
    </row>
    <row r="26" ht="20" customHeight="1" spans="1:4">
      <c r="A26" s="7" t="s">
        <v>105</v>
      </c>
      <c r="B26" s="7">
        <f>B19+B20+B21+B22</f>
        <v>45</v>
      </c>
      <c r="C26" s="7" t="s">
        <v>67</v>
      </c>
      <c r="D26" s="7" t="s">
        <v>106</v>
      </c>
    </row>
    <row r="27" ht="20" customHeight="1" spans="1:4">
      <c r="A27" s="7" t="s">
        <v>107</v>
      </c>
      <c r="B27" s="7" t="str">
        <f>IF(B26&lt;=B17,"\u2713 没超，正确","\u2717 超了！有问题")</f>
        <v>\u2713 没超，正确</v>
      </c>
      <c r="C27" s="7" t="s">
        <v>67</v>
      </c>
      <c r="D27" s="7" t="s">
        <v>108</v>
      </c>
    </row>
    <row r="28" ht="20" customHeight="1" spans="1:4">
      <c r="A28" s="7" t="s">
        <v>109</v>
      </c>
      <c r="B28" s="7" t="str">
        <f>IF(B23&gt;=0,"\u2713 没负数，正确","\u2717 负数了！分销员扣太多")</f>
        <v>\u2713 没负数，正确</v>
      </c>
      <c r="C28" s="7" t="s">
        <v>67</v>
      </c>
      <c r="D28" s="7" t="s">
        <v>108</v>
      </c>
    </row>
  </sheetData>
  <mergeCells count="2">
    <mergeCell ref="A1:D1"/>
    <mergeCell ref="A2:D2"/>
  </mergeCells>
  <pageMargins left="0.75" right="0.75" top="1" bottom="1" header="0.5" footer="0.5"/>
  <headerFooter/>
  <ignoredErrors>
    <ignoredError sqref="A2:D5 A6 A9:D15 A16:A17 C16:D17 A18:D26 A8 C6:D8 A27:A28 C27:D2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14" sqref="B14"/>
    </sheetView>
  </sheetViews>
  <sheetFormatPr defaultColWidth="9" defaultRowHeight="13.5" outlineLevelCol="3"/>
  <cols>
    <col min="1" max="2" width="22.8333333333333" style="8" customWidth="1"/>
    <col min="3" max="3" width="4.83333333333333" style="8" customWidth="1"/>
    <col min="4" max="4" width="48.8333333333333" style="8" customWidth="1"/>
    <col min="5" max="16384" width="9" style="8"/>
  </cols>
  <sheetData>
    <row r="1" ht="32" customHeight="1" spans="1:4">
      <c r="A1" s="9" t="s">
        <v>110</v>
      </c>
      <c r="B1" s="9"/>
      <c r="C1" s="9"/>
      <c r="D1" s="9"/>
    </row>
    <row r="2" ht="32" customHeight="1" spans="1:4">
      <c r="A2" s="7" t="s">
        <v>111</v>
      </c>
      <c r="B2" s="7"/>
      <c r="C2" s="7"/>
      <c r="D2" s="7"/>
    </row>
    <row r="3" ht="24" customHeight="1" spans="1:4">
      <c r="A3" s="7"/>
      <c r="B3" s="7"/>
      <c r="C3" s="7"/>
      <c r="D3" s="7"/>
    </row>
    <row r="4" ht="24" customHeight="1" spans="1:4">
      <c r="A4" s="10" t="s">
        <v>69</v>
      </c>
      <c r="B4" s="10" t="s">
        <v>70</v>
      </c>
      <c r="C4" s="10" t="s">
        <v>67</v>
      </c>
      <c r="D4" s="10" t="s">
        <v>39</v>
      </c>
    </row>
    <row r="5" ht="24" customHeight="1" spans="1:4">
      <c r="A5" s="7" t="s">
        <v>112</v>
      </c>
      <c r="B5" s="7" t="s">
        <v>60</v>
      </c>
      <c r="C5" s="7" t="s">
        <v>67</v>
      </c>
      <c r="D5" s="7" t="s">
        <v>113</v>
      </c>
    </row>
    <row r="6" ht="24" customHeight="1" spans="1:4">
      <c r="A6" s="7" t="s">
        <v>114</v>
      </c>
      <c r="B6" s="7" t="s">
        <v>115</v>
      </c>
      <c r="C6" s="7" t="s">
        <v>67</v>
      </c>
      <c r="D6" s="7" t="s">
        <v>67</v>
      </c>
    </row>
    <row r="7" ht="24" customHeight="1" spans="1:4">
      <c r="A7" s="7" t="s">
        <v>116</v>
      </c>
      <c r="B7" s="7">
        <v>20</v>
      </c>
      <c r="C7" s="7" t="s">
        <v>67</v>
      </c>
      <c r="D7" s="7" t="s">
        <v>117</v>
      </c>
    </row>
    <row r="8" ht="24" customHeight="1" spans="1:4">
      <c r="A8" s="7" t="s">
        <v>118</v>
      </c>
      <c r="B8" s="7">
        <v>2</v>
      </c>
      <c r="C8" s="7" t="s">
        <v>67</v>
      </c>
      <c r="D8" s="7" t="s">
        <v>119</v>
      </c>
    </row>
    <row r="9" ht="24" customHeight="1" spans="1:4">
      <c r="A9" s="7" t="s">
        <v>78</v>
      </c>
      <c r="B9" s="7">
        <v>20</v>
      </c>
      <c r="C9" s="7" t="s">
        <v>67</v>
      </c>
      <c r="D9" s="7" t="s">
        <v>81</v>
      </c>
    </row>
    <row r="10" ht="24" customHeight="1" spans="1:4">
      <c r="A10" s="7" t="s">
        <v>80</v>
      </c>
      <c r="B10" s="7">
        <v>30</v>
      </c>
      <c r="C10" s="7" t="s">
        <v>67</v>
      </c>
      <c r="D10" s="7" t="s">
        <v>81</v>
      </c>
    </row>
    <row r="11" ht="24" customHeight="1" spans="1:4">
      <c r="A11" s="7" t="s">
        <v>82</v>
      </c>
      <c r="B11" s="7">
        <v>10</v>
      </c>
      <c r="C11" s="7" t="s">
        <v>67</v>
      </c>
      <c r="D11" s="7" t="s">
        <v>85</v>
      </c>
    </row>
    <row r="12" ht="24" customHeight="1" spans="1:4">
      <c r="A12" s="7"/>
      <c r="B12" s="7"/>
      <c r="C12" s="7"/>
      <c r="D12" s="7"/>
    </row>
    <row r="13" ht="24" customHeight="1" spans="1:4">
      <c r="A13" s="7" t="s">
        <v>120</v>
      </c>
      <c r="B13" s="7" t="s">
        <v>67</v>
      </c>
      <c r="C13" s="7" t="s">
        <v>67</v>
      </c>
      <c r="D13" s="7" t="s">
        <v>121</v>
      </c>
    </row>
    <row r="14" ht="24" customHeight="1" spans="1:4">
      <c r="A14" s="7" t="s">
        <v>122</v>
      </c>
      <c r="B14" s="7">
        <f>B8</f>
        <v>2</v>
      </c>
      <c r="C14" s="7" t="s">
        <v>67</v>
      </c>
      <c r="D14" s="7" t="s">
        <v>123</v>
      </c>
    </row>
    <row r="15" ht="24" customHeight="1" spans="1:4">
      <c r="A15" s="7" t="s">
        <v>94</v>
      </c>
      <c r="B15" s="7">
        <f>ROUND(B14*B9/100,2)</f>
        <v>0.4</v>
      </c>
      <c r="C15" s="7" t="s">
        <v>67</v>
      </c>
      <c r="D15" s="7" t="s">
        <v>95</v>
      </c>
    </row>
    <row r="16" ht="24" customHeight="1" spans="1:4">
      <c r="A16" s="7" t="s">
        <v>96</v>
      </c>
      <c r="B16" s="7">
        <f>ROUND(B14*B10/100,2)</f>
        <v>0.6</v>
      </c>
      <c r="C16" s="7" t="s">
        <v>67</v>
      </c>
      <c r="D16" s="7" t="s">
        <v>97</v>
      </c>
    </row>
    <row r="17" ht="24" customHeight="1" spans="1:4">
      <c r="A17" s="7" t="s">
        <v>98</v>
      </c>
      <c r="B17" s="7">
        <f>ROUND(B14*B11/100,2)</f>
        <v>0.2</v>
      </c>
      <c r="C17" s="7" t="s">
        <v>67</v>
      </c>
      <c r="D17" s="7" t="s">
        <v>99</v>
      </c>
    </row>
    <row r="18" ht="24" customHeight="1" spans="1:4">
      <c r="A18" s="7" t="s">
        <v>102</v>
      </c>
      <c r="B18" s="7">
        <f>B16-B17</f>
        <v>0.4</v>
      </c>
      <c r="C18" s="7" t="s">
        <v>67</v>
      </c>
      <c r="D18" s="7" t="s">
        <v>124</v>
      </c>
    </row>
    <row r="19" ht="24" customHeight="1" spans="1:4">
      <c r="A19" s="7"/>
      <c r="B19" s="7"/>
      <c r="C19" s="7"/>
      <c r="D19" s="7"/>
    </row>
    <row r="20" ht="24" customHeight="1" spans="1:4">
      <c r="A20" s="7" t="s">
        <v>105</v>
      </c>
      <c r="B20" s="7">
        <f>B15+B16+B17</f>
        <v>1.2</v>
      </c>
      <c r="C20" s="7" t="s">
        <v>67</v>
      </c>
      <c r="D20" s="7" t="s">
        <v>67</v>
      </c>
    </row>
    <row r="21" ht="24" customHeight="1" spans="1:4">
      <c r="A21" s="7" t="s">
        <v>125</v>
      </c>
      <c r="B21" s="7" t="str">
        <f>IF(B20&lt;=B14,"\u2713 正确","\u2717 超了")</f>
        <v>\u2713 正确</v>
      </c>
      <c r="C21" s="7" t="s">
        <v>67</v>
      </c>
      <c r="D21" s="7" t="s">
        <v>67</v>
      </c>
    </row>
  </sheetData>
  <mergeCells count="2">
    <mergeCell ref="A1:D1"/>
    <mergeCell ref="A2:D2"/>
  </mergeCells>
  <pageMargins left="0.75" right="0.75" top="1" bottom="1" header="0.5" footer="0.5"/>
  <headerFooter/>
  <ignoredErrors>
    <ignoredError sqref="A2:D6 A7 C7:D7 A8:D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pane xSplit="13" ySplit="1" topLeftCell="N2" activePane="bottomRight" state="frozen"/>
      <selection/>
      <selection pane="topRight"/>
      <selection pane="bottomLeft"/>
      <selection pane="bottomRight" activeCell="L10" sqref="L10"/>
    </sheetView>
  </sheetViews>
  <sheetFormatPr defaultColWidth="9" defaultRowHeight="14.25"/>
  <cols>
    <col min="1" max="1" width="5.83333333333333" customWidth="1"/>
    <col min="2" max="2" width="18.8333333333333" customWidth="1"/>
    <col min="3" max="3" width="7.83333333333333" customWidth="1"/>
    <col min="4" max="4" width="20.8333333333333" customWidth="1"/>
    <col min="5" max="5" width="6.83333333333333" customWidth="1"/>
    <col min="6" max="6" width="10.8333333333333" customWidth="1"/>
    <col min="7" max="7" width="6.83333333333333" customWidth="1"/>
    <col min="8" max="8" width="8.83333333333333" customWidth="1"/>
    <col min="9" max="9" width="6.83333333333333" customWidth="1"/>
    <col min="10" max="12" width="9.83333333333333" customWidth="1"/>
    <col min="13" max="13" width="11.8333333333333" customWidth="1"/>
    <col min="14" max="14" width="35.8333333333333" customWidth="1"/>
  </cols>
  <sheetData>
    <row r="1" ht="35" customHeight="1" spans="1:14">
      <c r="A1" s="6" t="s">
        <v>126</v>
      </c>
      <c r="B1" s="6" t="s">
        <v>127</v>
      </c>
      <c r="C1" s="6" t="s">
        <v>128</v>
      </c>
      <c r="D1" s="6" t="s">
        <v>37</v>
      </c>
      <c r="E1" s="6" t="s">
        <v>129</v>
      </c>
      <c r="F1" s="6" t="s">
        <v>130</v>
      </c>
      <c r="G1" s="6" t="s">
        <v>131</v>
      </c>
      <c r="H1" s="6" t="s">
        <v>132</v>
      </c>
      <c r="I1" s="6" t="s">
        <v>133</v>
      </c>
      <c r="J1" s="6" t="s">
        <v>94</v>
      </c>
      <c r="K1" s="6" t="s">
        <v>134</v>
      </c>
      <c r="L1" s="6" t="s">
        <v>135</v>
      </c>
      <c r="M1" s="6" t="s">
        <v>136</v>
      </c>
      <c r="N1" s="6" t="s">
        <v>39</v>
      </c>
    </row>
    <row r="2" ht="25" customHeight="1" spans="1:14">
      <c r="A2" s="7" t="s">
        <v>137</v>
      </c>
      <c r="B2" s="7" t="s">
        <v>138</v>
      </c>
      <c r="C2" s="7" t="s">
        <v>41</v>
      </c>
      <c r="D2" s="7" t="s">
        <v>42</v>
      </c>
      <c r="E2" s="7">
        <v>100</v>
      </c>
      <c r="F2" s="7">
        <v>85</v>
      </c>
      <c r="G2" s="7">
        <v>15</v>
      </c>
      <c r="H2" s="7">
        <v>10</v>
      </c>
      <c r="I2" s="7">
        <v>5</v>
      </c>
      <c r="J2" s="7">
        <v>12.75</v>
      </c>
      <c r="K2" s="7">
        <v>8.5</v>
      </c>
      <c r="L2" s="7">
        <v>4.25</v>
      </c>
      <c r="M2" s="7">
        <v>4.25</v>
      </c>
      <c r="N2" s="7" t="s">
        <v>67</v>
      </c>
    </row>
    <row r="3" ht="25" customHeight="1" spans="1:14">
      <c r="A3" s="7" t="s">
        <v>139</v>
      </c>
      <c r="B3" s="7" t="s">
        <v>138</v>
      </c>
      <c r="C3" s="7" t="s">
        <v>41</v>
      </c>
      <c r="D3" s="7" t="s">
        <v>42</v>
      </c>
      <c r="E3" s="7">
        <v>200</v>
      </c>
      <c r="F3" s="7">
        <v>170</v>
      </c>
      <c r="G3" s="7">
        <v>15</v>
      </c>
      <c r="H3" s="7">
        <v>10</v>
      </c>
      <c r="I3" s="7">
        <v>5</v>
      </c>
      <c r="J3" s="7">
        <v>25.5</v>
      </c>
      <c r="K3" s="7">
        <v>17</v>
      </c>
      <c r="L3" s="7">
        <v>8.5</v>
      </c>
      <c r="M3" s="7">
        <v>8.5</v>
      </c>
      <c r="N3" s="7" t="s">
        <v>67</v>
      </c>
    </row>
    <row r="4" ht="25" customHeight="1" spans="1:14">
      <c r="A4" s="7" t="s">
        <v>140</v>
      </c>
      <c r="B4" s="7" t="s">
        <v>138</v>
      </c>
      <c r="C4" s="7" t="s">
        <v>41</v>
      </c>
      <c r="D4" s="7" t="s">
        <v>141</v>
      </c>
      <c r="E4" s="7">
        <v>100</v>
      </c>
      <c r="F4" s="7">
        <v>85</v>
      </c>
      <c r="G4" s="7">
        <v>15</v>
      </c>
      <c r="H4" s="7">
        <v>10</v>
      </c>
      <c r="I4" s="7">
        <v>0</v>
      </c>
      <c r="J4" s="7">
        <v>12.75</v>
      </c>
      <c r="K4" s="7">
        <v>8.5</v>
      </c>
      <c r="L4" s="7">
        <v>0</v>
      </c>
      <c r="M4" s="7">
        <v>8.5</v>
      </c>
      <c r="N4" s="7" t="s">
        <v>142</v>
      </c>
    </row>
    <row r="5" ht="25" customHeight="1" spans="1:14">
      <c r="A5" s="7" t="s">
        <v>143</v>
      </c>
      <c r="B5" s="7" t="s">
        <v>144</v>
      </c>
      <c r="C5" s="7" t="s">
        <v>45</v>
      </c>
      <c r="D5" s="7" t="s">
        <v>42</v>
      </c>
      <c r="E5" s="7">
        <v>100</v>
      </c>
      <c r="F5" s="7">
        <v>80</v>
      </c>
      <c r="G5" s="7">
        <v>15</v>
      </c>
      <c r="H5" s="7">
        <v>10</v>
      </c>
      <c r="I5" s="7">
        <v>5</v>
      </c>
      <c r="J5" s="7">
        <v>12</v>
      </c>
      <c r="K5" s="7">
        <v>8</v>
      </c>
      <c r="L5" s="7">
        <v>4</v>
      </c>
      <c r="M5" s="7">
        <v>4</v>
      </c>
      <c r="N5" s="7" t="s">
        <v>67</v>
      </c>
    </row>
    <row r="6" ht="25" customHeight="1" spans="1:14">
      <c r="A6" s="7" t="s">
        <v>145</v>
      </c>
      <c r="B6" s="7" t="s">
        <v>144</v>
      </c>
      <c r="C6" s="7" t="s">
        <v>45</v>
      </c>
      <c r="D6" s="7" t="s">
        <v>42</v>
      </c>
      <c r="E6" s="7">
        <v>50</v>
      </c>
      <c r="F6" s="7">
        <v>40</v>
      </c>
      <c r="G6" s="7">
        <v>15</v>
      </c>
      <c r="H6" s="7">
        <v>10</v>
      </c>
      <c r="I6" s="7">
        <v>5</v>
      </c>
      <c r="J6" s="7">
        <v>6</v>
      </c>
      <c r="K6" s="7">
        <v>4</v>
      </c>
      <c r="L6" s="7">
        <v>2</v>
      </c>
      <c r="M6" s="7">
        <v>2</v>
      </c>
      <c r="N6" s="7" t="s">
        <v>67</v>
      </c>
    </row>
    <row r="7" ht="25" customHeight="1" spans="1:14">
      <c r="A7" s="7" t="s">
        <v>146</v>
      </c>
      <c r="B7" s="7" t="s">
        <v>144</v>
      </c>
      <c r="C7" s="7" t="s">
        <v>45</v>
      </c>
      <c r="D7" s="7" t="s">
        <v>147</v>
      </c>
      <c r="E7" s="7">
        <v>33</v>
      </c>
      <c r="F7" s="7">
        <v>26.4</v>
      </c>
      <c r="G7" s="7">
        <v>15</v>
      </c>
      <c r="H7" s="7">
        <v>10</v>
      </c>
      <c r="I7" s="7">
        <v>5</v>
      </c>
      <c r="J7" s="7">
        <v>3.96</v>
      </c>
      <c r="K7" s="7">
        <v>2.64</v>
      </c>
      <c r="L7" s="7">
        <v>1.32</v>
      </c>
      <c r="M7" s="7">
        <v>1.32</v>
      </c>
      <c r="N7" s="7" t="s">
        <v>148</v>
      </c>
    </row>
    <row r="8" ht="25" customHeight="1" spans="1:14">
      <c r="A8" s="7" t="s">
        <v>149</v>
      </c>
      <c r="B8" s="7" t="s">
        <v>47</v>
      </c>
      <c r="C8" s="7" t="s">
        <v>48</v>
      </c>
      <c r="D8" s="7" t="s">
        <v>49</v>
      </c>
      <c r="E8" s="7">
        <v>100</v>
      </c>
      <c r="F8" s="7">
        <v>75</v>
      </c>
      <c r="G8" s="7">
        <v>15</v>
      </c>
      <c r="H8" s="7">
        <v>10</v>
      </c>
      <c r="I8" s="7">
        <v>5</v>
      </c>
      <c r="J8" s="7">
        <v>11.25</v>
      </c>
      <c r="K8" s="7">
        <v>7.5</v>
      </c>
      <c r="L8" s="7">
        <v>3.75</v>
      </c>
      <c r="M8" s="7">
        <v>3.75</v>
      </c>
      <c r="N8" s="7" t="s">
        <v>67</v>
      </c>
    </row>
    <row r="9" ht="25" customHeight="1" spans="1:14">
      <c r="A9" s="7" t="s">
        <v>150</v>
      </c>
      <c r="B9" s="7" t="s">
        <v>47</v>
      </c>
      <c r="C9" s="7" t="s">
        <v>48</v>
      </c>
      <c r="D9" s="7" t="s">
        <v>49</v>
      </c>
      <c r="E9" s="7">
        <v>200</v>
      </c>
      <c r="F9" s="7">
        <v>150</v>
      </c>
      <c r="G9" s="7">
        <v>15</v>
      </c>
      <c r="H9" s="7">
        <v>10</v>
      </c>
      <c r="I9" s="7">
        <v>5</v>
      </c>
      <c r="J9" s="7">
        <v>22.5</v>
      </c>
      <c r="K9" s="7">
        <v>15</v>
      </c>
      <c r="L9" s="7">
        <v>7.5</v>
      </c>
      <c r="M9" s="7">
        <v>7.5</v>
      </c>
      <c r="N9" s="7" t="s">
        <v>67</v>
      </c>
    </row>
    <row r="10" ht="25" customHeight="1" spans="1:14">
      <c r="A10" s="7" t="s">
        <v>151</v>
      </c>
      <c r="B10" s="7" t="s">
        <v>152</v>
      </c>
      <c r="C10" s="7" t="s">
        <v>45</v>
      </c>
      <c r="D10" s="7" t="s">
        <v>49</v>
      </c>
      <c r="E10" s="7">
        <v>100</v>
      </c>
      <c r="F10" s="7">
        <v>80</v>
      </c>
      <c r="G10" s="7">
        <v>15</v>
      </c>
      <c r="H10" s="7">
        <v>10</v>
      </c>
      <c r="I10" s="7">
        <v>5</v>
      </c>
      <c r="J10" s="7">
        <v>12</v>
      </c>
      <c r="K10" s="7">
        <v>8</v>
      </c>
      <c r="L10" s="7">
        <v>4</v>
      </c>
      <c r="M10" s="7">
        <v>4</v>
      </c>
      <c r="N10" s="7" t="s">
        <v>67</v>
      </c>
    </row>
    <row r="11" ht="25" customHeight="1" spans="1:14">
      <c r="A11" s="7" t="s">
        <v>153</v>
      </c>
      <c r="B11" s="7" t="s">
        <v>152</v>
      </c>
      <c r="C11" s="7" t="s">
        <v>45</v>
      </c>
      <c r="D11" s="7" t="s">
        <v>154</v>
      </c>
      <c r="E11" s="7">
        <v>0</v>
      </c>
      <c r="F11" s="7">
        <v>0</v>
      </c>
      <c r="G11" s="7">
        <v>15</v>
      </c>
      <c r="H11" s="7">
        <v>10</v>
      </c>
      <c r="I11" s="7">
        <v>5</v>
      </c>
      <c r="J11" s="7">
        <v>0</v>
      </c>
      <c r="K11" s="7">
        <v>0</v>
      </c>
      <c r="L11" s="7">
        <v>0</v>
      </c>
      <c r="M11" s="7">
        <v>0</v>
      </c>
      <c r="N11" s="7" t="s">
        <v>155</v>
      </c>
    </row>
    <row r="12" ht="25" customHeight="1" spans="1:14">
      <c r="A12" s="7" t="s">
        <v>156</v>
      </c>
      <c r="B12" s="7" t="s">
        <v>152</v>
      </c>
      <c r="C12" s="7" t="s">
        <v>45</v>
      </c>
      <c r="D12" s="7" t="s">
        <v>157</v>
      </c>
      <c r="E12" s="7">
        <v>100</v>
      </c>
      <c r="F12" s="7">
        <v>40</v>
      </c>
      <c r="G12" s="7">
        <v>15</v>
      </c>
      <c r="H12" s="7">
        <v>10</v>
      </c>
      <c r="I12" s="7">
        <v>5</v>
      </c>
      <c r="J12" s="7">
        <v>6</v>
      </c>
      <c r="K12" s="7">
        <v>4</v>
      </c>
      <c r="L12" s="7">
        <v>2</v>
      </c>
      <c r="M12" s="7">
        <v>2</v>
      </c>
      <c r="N12" s="7" t="s">
        <v>158</v>
      </c>
    </row>
    <row r="13" ht="25" customHeight="1" spans="1:14">
      <c r="A13" s="7" t="s">
        <v>159</v>
      </c>
      <c r="B13" s="7" t="s">
        <v>115</v>
      </c>
      <c r="C13" s="7" t="s">
        <v>160</v>
      </c>
      <c r="D13" s="7" t="s">
        <v>60</v>
      </c>
      <c r="E13" s="7" t="s">
        <v>160</v>
      </c>
      <c r="F13" s="7">
        <v>2</v>
      </c>
      <c r="G13" s="7">
        <v>20</v>
      </c>
      <c r="H13" s="7">
        <v>30</v>
      </c>
      <c r="I13" s="7">
        <v>10</v>
      </c>
      <c r="J13" s="7">
        <v>0.4</v>
      </c>
      <c r="K13" s="7">
        <v>0.6</v>
      </c>
      <c r="L13" s="7">
        <v>0.2</v>
      </c>
      <c r="M13" s="7">
        <v>0.4</v>
      </c>
      <c r="N13" s="7" t="s">
        <v>161</v>
      </c>
    </row>
    <row r="14" ht="25" customHeight="1" spans="1:14">
      <c r="A14" s="7" t="s">
        <v>162</v>
      </c>
      <c r="B14" s="7" t="s">
        <v>163</v>
      </c>
      <c r="C14" s="7" t="s">
        <v>160</v>
      </c>
      <c r="D14" s="7" t="s">
        <v>60</v>
      </c>
      <c r="E14" s="7" t="s">
        <v>160</v>
      </c>
      <c r="F14" s="7">
        <v>5</v>
      </c>
      <c r="G14" s="7">
        <v>20</v>
      </c>
      <c r="H14" s="7">
        <v>30</v>
      </c>
      <c r="I14" s="7">
        <v>10</v>
      </c>
      <c r="J14" s="7">
        <v>1</v>
      </c>
      <c r="K14" s="7">
        <v>1.5</v>
      </c>
      <c r="L14" s="7">
        <v>0.5</v>
      </c>
      <c r="M14" s="7">
        <v>1</v>
      </c>
      <c r="N14" s="7" t="s">
        <v>164</v>
      </c>
    </row>
    <row r="15" ht="25" customHeight="1" spans="1:14">
      <c r="A15" s="7" t="s">
        <v>165</v>
      </c>
      <c r="B15" s="7" t="s">
        <v>166</v>
      </c>
      <c r="C15" s="7" t="s">
        <v>160</v>
      </c>
      <c r="D15" s="7" t="s">
        <v>64</v>
      </c>
      <c r="E15" s="7" t="s">
        <v>160</v>
      </c>
      <c r="F15" s="7">
        <v>1.5</v>
      </c>
      <c r="G15" s="7">
        <v>20</v>
      </c>
      <c r="H15" s="7">
        <v>30</v>
      </c>
      <c r="I15" s="7">
        <v>10</v>
      </c>
      <c r="J15" s="7">
        <v>0.3</v>
      </c>
      <c r="K15" s="7">
        <v>0.45</v>
      </c>
      <c r="L15" s="7">
        <v>0.15</v>
      </c>
      <c r="M15" s="7">
        <v>0.3</v>
      </c>
      <c r="N15" s="7" t="s">
        <v>167</v>
      </c>
    </row>
    <row r="16" ht="25" customHeight="1" spans="1:14">
      <c r="A16" s="7" t="s">
        <v>168</v>
      </c>
      <c r="B16" s="7" t="s">
        <v>169</v>
      </c>
      <c r="C16" s="7" t="s">
        <v>160</v>
      </c>
      <c r="D16" s="7" t="s">
        <v>64</v>
      </c>
      <c r="E16" s="7" t="s">
        <v>160</v>
      </c>
      <c r="F16" s="7">
        <v>3</v>
      </c>
      <c r="G16" s="7">
        <v>20</v>
      </c>
      <c r="H16" s="7">
        <v>30</v>
      </c>
      <c r="I16" s="7">
        <v>10</v>
      </c>
      <c r="J16" s="7">
        <v>0.6</v>
      </c>
      <c r="K16" s="7">
        <v>0.9</v>
      </c>
      <c r="L16" s="7">
        <v>0.3</v>
      </c>
      <c r="M16" s="7">
        <v>0.6</v>
      </c>
      <c r="N16" s="7" t="s">
        <v>67</v>
      </c>
    </row>
    <row r="17" ht="25" customHeight="1" spans="1:14">
      <c r="A17" s="7" t="s">
        <v>170</v>
      </c>
      <c r="B17" s="7" t="s">
        <v>51</v>
      </c>
      <c r="C17" s="7" t="s">
        <v>160</v>
      </c>
      <c r="D17" s="7" t="s">
        <v>171</v>
      </c>
      <c r="E17" s="7" t="s">
        <v>160</v>
      </c>
      <c r="F17" s="7">
        <v>4</v>
      </c>
      <c r="G17" s="7">
        <v>20</v>
      </c>
      <c r="H17" s="7">
        <v>30</v>
      </c>
      <c r="I17" s="7">
        <v>10</v>
      </c>
      <c r="J17" s="7">
        <v>0.8</v>
      </c>
      <c r="K17" s="7">
        <v>1.2</v>
      </c>
      <c r="L17" s="7">
        <v>0.4</v>
      </c>
      <c r="M17" s="7">
        <v>0.8</v>
      </c>
      <c r="N17" s="7" t="s">
        <v>172</v>
      </c>
    </row>
    <row r="18" ht="25" customHeight="1" spans="1:14">
      <c r="A18" s="7" t="s">
        <v>173</v>
      </c>
      <c r="B18" s="7" t="s">
        <v>174</v>
      </c>
      <c r="C18" s="7" t="s">
        <v>160</v>
      </c>
      <c r="D18" s="7" t="s">
        <v>175</v>
      </c>
      <c r="E18" s="7" t="s">
        <v>160</v>
      </c>
      <c r="F18" s="7">
        <v>3</v>
      </c>
      <c r="G18" s="7">
        <v>20</v>
      </c>
      <c r="H18" s="7">
        <v>30</v>
      </c>
      <c r="I18" s="7">
        <v>10</v>
      </c>
      <c r="J18" s="7">
        <v>0.6</v>
      </c>
      <c r="K18" s="7">
        <v>0.9</v>
      </c>
      <c r="L18" s="7">
        <v>0.3</v>
      </c>
      <c r="M18" s="7">
        <v>0.6</v>
      </c>
      <c r="N18" s="7" t="s">
        <v>176</v>
      </c>
    </row>
    <row r="19" ht="25" customHeight="1" spans="1:14">
      <c r="A19" s="7" t="s">
        <v>177</v>
      </c>
      <c r="B19" s="7" t="s">
        <v>178</v>
      </c>
      <c r="C19" s="7" t="s">
        <v>160</v>
      </c>
      <c r="D19" s="7" t="s">
        <v>179</v>
      </c>
      <c r="E19" s="7" t="s">
        <v>160</v>
      </c>
      <c r="F19" s="7">
        <v>1.5</v>
      </c>
      <c r="G19" s="7">
        <v>20</v>
      </c>
      <c r="H19" s="7">
        <v>30</v>
      </c>
      <c r="I19" s="7">
        <v>10</v>
      </c>
      <c r="J19" s="7">
        <v>0.3</v>
      </c>
      <c r="K19" s="7">
        <v>0.45</v>
      </c>
      <c r="L19" s="7">
        <v>0.15</v>
      </c>
      <c r="M19" s="7">
        <v>0.3</v>
      </c>
      <c r="N19" s="7" t="s">
        <v>67</v>
      </c>
    </row>
    <row r="20" ht="25" customHeight="1" spans="1:14">
      <c r="A20" s="7" t="s">
        <v>180</v>
      </c>
      <c r="B20" s="7" t="s">
        <v>181</v>
      </c>
      <c r="C20" s="7" t="s">
        <v>160</v>
      </c>
      <c r="D20" s="7" t="s">
        <v>182</v>
      </c>
      <c r="E20" s="7" t="s">
        <v>160</v>
      </c>
      <c r="F20" s="7">
        <v>45</v>
      </c>
      <c r="G20" s="7">
        <v>20</v>
      </c>
      <c r="H20" s="7">
        <v>30</v>
      </c>
      <c r="I20" s="7">
        <v>10</v>
      </c>
      <c r="J20" s="7">
        <v>9</v>
      </c>
      <c r="K20" s="7">
        <v>13.5</v>
      </c>
      <c r="L20" s="7">
        <v>4.5</v>
      </c>
      <c r="M20" s="7">
        <v>9</v>
      </c>
      <c r="N20" s="7" t="s">
        <v>183</v>
      </c>
    </row>
    <row r="21" ht="25" customHeight="1" spans="1:14">
      <c r="A21" s="7" t="s">
        <v>184</v>
      </c>
      <c r="B21" s="7" t="s">
        <v>185</v>
      </c>
      <c r="C21" s="7" t="s">
        <v>160</v>
      </c>
      <c r="D21" s="7" t="s">
        <v>186</v>
      </c>
      <c r="E21" s="7" t="s">
        <v>160</v>
      </c>
      <c r="F21" s="7">
        <v>8</v>
      </c>
      <c r="G21" s="7">
        <v>20</v>
      </c>
      <c r="H21" s="7">
        <v>30</v>
      </c>
      <c r="I21" s="7">
        <v>10</v>
      </c>
      <c r="J21" s="7">
        <v>1.6</v>
      </c>
      <c r="K21" s="7">
        <v>2.4</v>
      </c>
      <c r="L21" s="7">
        <v>0.8</v>
      </c>
      <c r="M21" s="7">
        <v>1.6</v>
      </c>
      <c r="N21" s="7" t="s">
        <v>187</v>
      </c>
    </row>
    <row r="22" ht="25" customHeight="1" spans="1:14">
      <c r="A22" s="7" t="s">
        <v>188</v>
      </c>
      <c r="B22" s="7" t="s">
        <v>138</v>
      </c>
      <c r="C22" s="7" t="s">
        <v>41</v>
      </c>
      <c r="D22" s="7" t="s">
        <v>189</v>
      </c>
      <c r="E22" s="7">
        <v>1</v>
      </c>
      <c r="F22" s="7">
        <v>0.85</v>
      </c>
      <c r="G22" s="7">
        <v>15</v>
      </c>
      <c r="H22" s="7">
        <v>10</v>
      </c>
      <c r="I22" s="7">
        <v>5</v>
      </c>
      <c r="J22" s="7">
        <v>0.13</v>
      </c>
      <c r="K22" s="7">
        <v>0.09</v>
      </c>
      <c r="L22" s="7">
        <v>0.04</v>
      </c>
      <c r="M22" s="7">
        <v>0.05</v>
      </c>
      <c r="N22" s="7" t="s">
        <v>67</v>
      </c>
    </row>
    <row r="23" ht="25" customHeight="1" spans="1:14">
      <c r="A23" s="7" t="s">
        <v>190</v>
      </c>
      <c r="B23" s="7" t="s">
        <v>144</v>
      </c>
      <c r="C23" s="7" t="s">
        <v>45</v>
      </c>
      <c r="D23" s="7" t="s">
        <v>191</v>
      </c>
      <c r="E23" s="7">
        <v>5000</v>
      </c>
      <c r="F23" s="7">
        <v>4000</v>
      </c>
      <c r="G23" s="7">
        <v>15</v>
      </c>
      <c r="H23" s="7">
        <v>10</v>
      </c>
      <c r="I23" s="7">
        <v>5</v>
      </c>
      <c r="J23" s="7">
        <v>600</v>
      </c>
      <c r="K23" s="7">
        <v>400</v>
      </c>
      <c r="L23" s="7">
        <v>200</v>
      </c>
      <c r="M23" s="7">
        <v>200</v>
      </c>
      <c r="N23" s="7" t="s">
        <v>67</v>
      </c>
    </row>
    <row r="24" ht="25" customHeight="1" spans="1:14">
      <c r="A24" s="7" t="s">
        <v>192</v>
      </c>
      <c r="B24" s="7" t="s">
        <v>193</v>
      </c>
      <c r="C24" s="7" t="s">
        <v>160</v>
      </c>
      <c r="D24" s="7" t="s">
        <v>194</v>
      </c>
      <c r="E24" s="7">
        <v>168</v>
      </c>
      <c r="F24" s="7">
        <v>168</v>
      </c>
      <c r="G24" s="7">
        <v>8</v>
      </c>
      <c r="H24" s="7">
        <v>42</v>
      </c>
      <c r="I24" s="7">
        <v>0</v>
      </c>
      <c r="J24" s="7">
        <v>13.44</v>
      </c>
      <c r="K24" s="7">
        <v>70.56</v>
      </c>
      <c r="L24" s="7">
        <v>0</v>
      </c>
      <c r="M24" s="7">
        <v>70.56</v>
      </c>
      <c r="N24" s="7" t="s">
        <v>195</v>
      </c>
    </row>
    <row r="25" ht="25" customHeight="1" spans="1:14">
      <c r="A25" s="7" t="s">
        <v>196</v>
      </c>
      <c r="B25" s="7" t="s">
        <v>197</v>
      </c>
      <c r="C25" s="7" t="s">
        <v>160</v>
      </c>
      <c r="D25" s="7" t="s">
        <v>194</v>
      </c>
      <c r="E25" s="7">
        <v>168</v>
      </c>
      <c r="F25" s="7">
        <v>168</v>
      </c>
      <c r="G25" s="7">
        <v>8</v>
      </c>
      <c r="H25" s="7">
        <v>42</v>
      </c>
      <c r="I25" s="7">
        <v>5</v>
      </c>
      <c r="J25" s="7">
        <v>13.44</v>
      </c>
      <c r="K25" s="7">
        <v>70.56</v>
      </c>
      <c r="L25" s="7">
        <v>8.4</v>
      </c>
      <c r="M25" s="7">
        <v>62.16</v>
      </c>
      <c r="N25" s="7" t="s">
        <v>198</v>
      </c>
    </row>
  </sheetData>
  <autoFilter xmlns:etc="http://www.wps.cn/officeDocument/2017/etCustomData" ref="A1:N25" etc:filterBottomFollowUsedRange="0">
    <extLst/>
  </autoFilter>
  <pageMargins left="0.75" right="0.75" top="1" bottom="1" header="0.5" footer="0.5"/>
  <headerFooter/>
  <ignoredErrors>
    <ignoredError sqref="A3:N25 N2 H2 A2:E2 A1:N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workbookViewId="0">
      <pane ySplit="1" topLeftCell="A2" activePane="bottomLeft" state="frozen"/>
      <selection/>
      <selection pane="bottomLeft" activeCell="T18" sqref="$A1:$XFD1048576"/>
    </sheetView>
  </sheetViews>
  <sheetFormatPr defaultColWidth="9" defaultRowHeight="14.25"/>
  <cols>
    <col min="1" max="1" width="4.83333333333333" customWidth="1"/>
    <col min="2" max="2" width="10.8333333333333" customWidth="1"/>
    <col min="3" max="3" width="14.8333333333333" customWidth="1"/>
    <col min="4" max="4" width="12.8333333333333" customWidth="1"/>
    <col min="5" max="5" width="16.8333333333333" customWidth="1"/>
    <col min="6" max="6" width="10.8333333333333" customWidth="1"/>
    <col min="7" max="7" width="6.83333333333333" customWidth="1"/>
    <col min="8" max="8" width="8.83333333333333" customWidth="1"/>
    <col min="9" max="9" width="15.5" customWidth="1"/>
    <col min="10" max="10" width="9.83333333333333" customWidth="1"/>
    <col min="11" max="11" width="10.8333333333333" customWidth="1"/>
    <col min="12" max="12" width="9.83333333333333" customWidth="1"/>
    <col min="13" max="13" width="11.8333333333333" customWidth="1"/>
    <col min="14" max="14" width="9.83333333333333" customWidth="1"/>
    <col min="15" max="15" width="10.8333333333333" customWidth="1"/>
    <col min="16" max="16" width="9.83333333333333" customWidth="1"/>
    <col min="17" max="17" width="10.8333333333333" customWidth="1"/>
    <col min="18" max="18" width="10.8333333333333" style="3" customWidth="1"/>
  </cols>
  <sheetData>
    <row r="1" ht="24" customHeight="1" spans="1:18">
      <c r="A1" s="4" t="s">
        <v>199</v>
      </c>
      <c r="B1" s="4" t="s">
        <v>200</v>
      </c>
      <c r="C1" s="5" t="s">
        <v>127</v>
      </c>
      <c r="D1" s="5" t="s">
        <v>37</v>
      </c>
      <c r="E1" s="5" t="s">
        <v>201</v>
      </c>
      <c r="F1" s="5" t="s">
        <v>130</v>
      </c>
      <c r="G1" s="5" t="s">
        <v>131</v>
      </c>
      <c r="H1" s="5" t="s">
        <v>132</v>
      </c>
      <c r="I1" s="5" t="s">
        <v>133</v>
      </c>
      <c r="J1" s="4" t="s">
        <v>202</v>
      </c>
      <c r="K1" s="4" t="s">
        <v>203</v>
      </c>
      <c r="L1" s="4" t="s">
        <v>204</v>
      </c>
      <c r="M1" s="4" t="s">
        <v>205</v>
      </c>
      <c r="N1" s="4" t="s">
        <v>206</v>
      </c>
      <c r="O1" s="4" t="s">
        <v>207</v>
      </c>
      <c r="P1" s="4" t="s">
        <v>208</v>
      </c>
      <c r="Q1" s="4" t="s">
        <v>209</v>
      </c>
      <c r="R1" s="4" t="s">
        <v>210</v>
      </c>
    </row>
    <row r="2" ht="17" customHeight="1" spans="1:18">
      <c r="A2" s="4">
        <v>1</v>
      </c>
      <c r="B2" s="4"/>
      <c r="C2" s="4"/>
      <c r="D2" s="4"/>
      <c r="E2" s="4"/>
      <c r="F2" s="4"/>
      <c r="G2" s="4"/>
      <c r="H2" s="4"/>
      <c r="I2" s="4"/>
      <c r="J2" s="4">
        <f t="shared" ref="J2:J31" si="0">ROUND(F2*G2/100,2)</f>
        <v>0</v>
      </c>
      <c r="K2" s="4">
        <f t="shared" ref="K2:K31" si="1">ROUND(F2*H2/100,2)</f>
        <v>0</v>
      </c>
      <c r="L2" s="4">
        <f t="shared" ref="L2:L31" si="2">ROUND(F2*I2/100,2)</f>
        <v>0</v>
      </c>
      <c r="M2" s="4">
        <f t="shared" ref="M2:M31" si="3">K2-L2</f>
        <v>0</v>
      </c>
      <c r="N2" s="4"/>
      <c r="O2" s="4"/>
      <c r="P2" s="4"/>
      <c r="Q2" s="4" t="str">
        <f t="shared" ref="Q2:Q31" si="4">IF(AND(J2=N2,K2=O2,L2=P2),"\u2713 OK","\u2717 不对")</f>
        <v>\u2713 OK</v>
      </c>
      <c r="R2" s="4"/>
    </row>
    <row r="3" ht="17" customHeight="1" spans="1:18">
      <c r="A3" s="4">
        <v>2</v>
      </c>
      <c r="B3" s="4"/>
      <c r="C3" s="4"/>
      <c r="D3" s="4"/>
      <c r="E3" s="4"/>
      <c r="F3" s="4"/>
      <c r="G3" s="4"/>
      <c r="H3" s="4"/>
      <c r="I3" s="4"/>
      <c r="J3" s="4">
        <f t="shared" si="0"/>
        <v>0</v>
      </c>
      <c r="K3" s="4">
        <f t="shared" si="1"/>
        <v>0</v>
      </c>
      <c r="L3" s="4">
        <f t="shared" si="2"/>
        <v>0</v>
      </c>
      <c r="M3" s="4">
        <f t="shared" si="3"/>
        <v>0</v>
      </c>
      <c r="N3" s="4"/>
      <c r="O3" s="4"/>
      <c r="P3" s="4"/>
      <c r="Q3" s="4" t="str">
        <f t="shared" si="4"/>
        <v>\u2713 OK</v>
      </c>
      <c r="R3" s="4"/>
    </row>
    <row r="4" ht="17" customHeight="1" spans="1:18">
      <c r="A4" s="4">
        <v>3</v>
      </c>
      <c r="B4" s="4"/>
      <c r="C4" s="4"/>
      <c r="D4" s="4"/>
      <c r="E4" s="4"/>
      <c r="F4" s="4"/>
      <c r="G4" s="4"/>
      <c r="H4" s="4"/>
      <c r="I4" s="4"/>
      <c r="J4" s="4">
        <f t="shared" si="0"/>
        <v>0</v>
      </c>
      <c r="K4" s="4">
        <f t="shared" si="1"/>
        <v>0</v>
      </c>
      <c r="L4" s="4">
        <f t="shared" si="2"/>
        <v>0</v>
      </c>
      <c r="M4" s="4">
        <f t="shared" si="3"/>
        <v>0</v>
      </c>
      <c r="N4" s="4"/>
      <c r="O4" s="4"/>
      <c r="P4" s="4"/>
      <c r="Q4" s="4" t="str">
        <f t="shared" si="4"/>
        <v>\u2713 OK</v>
      </c>
      <c r="R4" s="4"/>
    </row>
    <row r="5" ht="17" customHeight="1" spans="1:18">
      <c r="A5" s="4">
        <v>4</v>
      </c>
      <c r="B5" s="4"/>
      <c r="C5" s="4"/>
      <c r="D5" s="4"/>
      <c r="E5" s="4"/>
      <c r="F5" s="4"/>
      <c r="G5" s="4"/>
      <c r="H5" s="4"/>
      <c r="I5" s="4"/>
      <c r="J5" s="4">
        <f t="shared" si="0"/>
        <v>0</v>
      </c>
      <c r="K5" s="4">
        <f t="shared" si="1"/>
        <v>0</v>
      </c>
      <c r="L5" s="4">
        <f t="shared" si="2"/>
        <v>0</v>
      </c>
      <c r="M5" s="4">
        <f t="shared" si="3"/>
        <v>0</v>
      </c>
      <c r="N5" s="4"/>
      <c r="O5" s="4"/>
      <c r="P5" s="4"/>
      <c r="Q5" s="4" t="str">
        <f t="shared" si="4"/>
        <v>\u2713 OK</v>
      </c>
      <c r="R5" s="4"/>
    </row>
    <row r="6" ht="17" customHeight="1" spans="1:18">
      <c r="A6" s="4">
        <v>5</v>
      </c>
      <c r="B6" s="4"/>
      <c r="C6" s="4"/>
      <c r="D6" s="4"/>
      <c r="E6" s="4"/>
      <c r="F6" s="4"/>
      <c r="G6" s="4"/>
      <c r="H6" s="4"/>
      <c r="I6" s="4"/>
      <c r="J6" s="4">
        <f t="shared" si="0"/>
        <v>0</v>
      </c>
      <c r="K6" s="4">
        <f t="shared" si="1"/>
        <v>0</v>
      </c>
      <c r="L6" s="4">
        <f t="shared" si="2"/>
        <v>0</v>
      </c>
      <c r="M6" s="4">
        <f t="shared" si="3"/>
        <v>0</v>
      </c>
      <c r="N6" s="4"/>
      <c r="O6" s="4"/>
      <c r="P6" s="4"/>
      <c r="Q6" s="4" t="str">
        <f t="shared" si="4"/>
        <v>\u2713 OK</v>
      </c>
      <c r="R6" s="4"/>
    </row>
    <row r="7" ht="17" customHeight="1" spans="1:18">
      <c r="A7" s="4">
        <v>6</v>
      </c>
      <c r="B7" s="4"/>
      <c r="C7" s="4"/>
      <c r="D7" s="4"/>
      <c r="E7" s="4"/>
      <c r="F7" s="4"/>
      <c r="G7" s="4"/>
      <c r="H7" s="4"/>
      <c r="I7" s="4"/>
      <c r="J7" s="4">
        <f t="shared" si="0"/>
        <v>0</v>
      </c>
      <c r="K7" s="4">
        <f t="shared" si="1"/>
        <v>0</v>
      </c>
      <c r="L7" s="4">
        <f t="shared" si="2"/>
        <v>0</v>
      </c>
      <c r="M7" s="4">
        <f t="shared" si="3"/>
        <v>0</v>
      </c>
      <c r="N7" s="4"/>
      <c r="O7" s="4"/>
      <c r="P7" s="4"/>
      <c r="Q7" s="4" t="str">
        <f t="shared" si="4"/>
        <v>\u2713 OK</v>
      </c>
      <c r="R7" s="4"/>
    </row>
    <row r="8" ht="17" customHeight="1" spans="1:18">
      <c r="A8" s="4">
        <v>7</v>
      </c>
      <c r="B8" s="4"/>
      <c r="C8" s="4"/>
      <c r="D8" s="4"/>
      <c r="E8" s="4"/>
      <c r="F8" s="4"/>
      <c r="G8" s="4"/>
      <c r="H8" s="4"/>
      <c r="I8" s="4"/>
      <c r="J8" s="4">
        <f t="shared" si="0"/>
        <v>0</v>
      </c>
      <c r="K8" s="4">
        <f t="shared" si="1"/>
        <v>0</v>
      </c>
      <c r="L8" s="4">
        <f t="shared" si="2"/>
        <v>0</v>
      </c>
      <c r="M8" s="4">
        <f t="shared" si="3"/>
        <v>0</v>
      </c>
      <c r="N8" s="4"/>
      <c r="O8" s="4"/>
      <c r="P8" s="4"/>
      <c r="Q8" s="4" t="str">
        <f t="shared" si="4"/>
        <v>\u2713 OK</v>
      </c>
      <c r="R8" s="4"/>
    </row>
    <row r="9" ht="17" customHeight="1" spans="1:18">
      <c r="A9" s="4">
        <v>8</v>
      </c>
      <c r="B9" s="4"/>
      <c r="C9" s="4"/>
      <c r="D9" s="4"/>
      <c r="E9" s="4"/>
      <c r="F9" s="4"/>
      <c r="G9" s="4"/>
      <c r="H9" s="4"/>
      <c r="I9" s="4"/>
      <c r="J9" s="4">
        <f t="shared" si="0"/>
        <v>0</v>
      </c>
      <c r="K9" s="4">
        <f t="shared" si="1"/>
        <v>0</v>
      </c>
      <c r="L9" s="4">
        <f t="shared" si="2"/>
        <v>0</v>
      </c>
      <c r="M9" s="4">
        <f t="shared" si="3"/>
        <v>0</v>
      </c>
      <c r="N9" s="4"/>
      <c r="O9" s="4"/>
      <c r="P9" s="4"/>
      <c r="Q9" s="4" t="str">
        <f t="shared" si="4"/>
        <v>\u2713 OK</v>
      </c>
      <c r="R9" s="4"/>
    </row>
    <row r="10" ht="17" customHeight="1" spans="1:18">
      <c r="A10" s="4">
        <v>9</v>
      </c>
      <c r="B10" s="4"/>
      <c r="C10" s="4"/>
      <c r="D10" s="4"/>
      <c r="E10" s="4"/>
      <c r="F10" s="4"/>
      <c r="G10" s="4"/>
      <c r="H10" s="4"/>
      <c r="I10" s="4"/>
      <c r="J10" s="4">
        <f t="shared" si="0"/>
        <v>0</v>
      </c>
      <c r="K10" s="4">
        <f t="shared" si="1"/>
        <v>0</v>
      </c>
      <c r="L10" s="4">
        <f t="shared" si="2"/>
        <v>0</v>
      </c>
      <c r="M10" s="4">
        <f t="shared" si="3"/>
        <v>0</v>
      </c>
      <c r="N10" s="4"/>
      <c r="O10" s="4"/>
      <c r="P10" s="4"/>
      <c r="Q10" s="4" t="str">
        <f t="shared" si="4"/>
        <v>\u2713 OK</v>
      </c>
      <c r="R10" s="4"/>
    </row>
    <row r="11" ht="17" customHeight="1" spans="1:18">
      <c r="A11" s="4">
        <v>10</v>
      </c>
      <c r="B11" s="4"/>
      <c r="C11" s="4"/>
      <c r="D11" s="4"/>
      <c r="E11" s="4"/>
      <c r="F11" s="4"/>
      <c r="G11" s="4"/>
      <c r="H11" s="4"/>
      <c r="I11" s="4"/>
      <c r="J11" s="4">
        <f t="shared" si="0"/>
        <v>0</v>
      </c>
      <c r="K11" s="4">
        <f t="shared" si="1"/>
        <v>0</v>
      </c>
      <c r="L11" s="4">
        <f t="shared" si="2"/>
        <v>0</v>
      </c>
      <c r="M11" s="4">
        <f t="shared" si="3"/>
        <v>0</v>
      </c>
      <c r="N11" s="4"/>
      <c r="O11" s="4"/>
      <c r="P11" s="4"/>
      <c r="Q11" s="4" t="str">
        <f t="shared" si="4"/>
        <v>\u2713 OK</v>
      </c>
      <c r="R11" s="4"/>
    </row>
    <row r="12" ht="17" customHeight="1" spans="1:18">
      <c r="A12" s="4">
        <v>11</v>
      </c>
      <c r="B12" s="4"/>
      <c r="C12" s="4"/>
      <c r="D12" s="4"/>
      <c r="E12" s="4"/>
      <c r="F12" s="4"/>
      <c r="G12" s="4"/>
      <c r="H12" s="4"/>
      <c r="I12" s="4"/>
      <c r="J12" s="4">
        <f t="shared" si="0"/>
        <v>0</v>
      </c>
      <c r="K12" s="4">
        <f t="shared" si="1"/>
        <v>0</v>
      </c>
      <c r="L12" s="4">
        <f t="shared" si="2"/>
        <v>0</v>
      </c>
      <c r="M12" s="4">
        <f t="shared" si="3"/>
        <v>0</v>
      </c>
      <c r="N12" s="4"/>
      <c r="O12" s="4"/>
      <c r="P12" s="4"/>
      <c r="Q12" s="4" t="str">
        <f t="shared" si="4"/>
        <v>\u2713 OK</v>
      </c>
      <c r="R12" s="4"/>
    </row>
    <row r="13" ht="17" customHeight="1" spans="1:18">
      <c r="A13" s="4">
        <v>12</v>
      </c>
      <c r="B13" s="4"/>
      <c r="C13" s="4"/>
      <c r="D13" s="4"/>
      <c r="E13" s="4"/>
      <c r="F13" s="4"/>
      <c r="G13" s="4"/>
      <c r="H13" s="4"/>
      <c r="I13" s="4"/>
      <c r="J13" s="4">
        <f t="shared" si="0"/>
        <v>0</v>
      </c>
      <c r="K13" s="4">
        <f t="shared" si="1"/>
        <v>0</v>
      </c>
      <c r="L13" s="4">
        <f t="shared" si="2"/>
        <v>0</v>
      </c>
      <c r="M13" s="4">
        <f t="shared" si="3"/>
        <v>0</v>
      </c>
      <c r="N13" s="4"/>
      <c r="O13" s="4"/>
      <c r="P13" s="4"/>
      <c r="Q13" s="4" t="str">
        <f t="shared" si="4"/>
        <v>\u2713 OK</v>
      </c>
      <c r="R13" s="4"/>
    </row>
    <row r="14" ht="17" customHeight="1" spans="1:18">
      <c r="A14" s="4">
        <v>13</v>
      </c>
      <c r="B14" s="4"/>
      <c r="C14" s="4"/>
      <c r="D14" s="4"/>
      <c r="E14" s="4"/>
      <c r="F14" s="4"/>
      <c r="G14" s="4"/>
      <c r="H14" s="4"/>
      <c r="I14" s="4"/>
      <c r="J14" s="4">
        <f t="shared" si="0"/>
        <v>0</v>
      </c>
      <c r="K14" s="4">
        <f t="shared" si="1"/>
        <v>0</v>
      </c>
      <c r="L14" s="4">
        <f t="shared" si="2"/>
        <v>0</v>
      </c>
      <c r="M14" s="4">
        <f t="shared" si="3"/>
        <v>0</v>
      </c>
      <c r="N14" s="4"/>
      <c r="O14" s="4"/>
      <c r="P14" s="4"/>
      <c r="Q14" s="4" t="str">
        <f t="shared" si="4"/>
        <v>\u2713 OK</v>
      </c>
      <c r="R14" s="4"/>
    </row>
    <row r="15" ht="17" customHeight="1" spans="1:18">
      <c r="A15" s="4">
        <v>14</v>
      </c>
      <c r="B15" s="4"/>
      <c r="C15" s="4"/>
      <c r="D15" s="4"/>
      <c r="E15" s="4"/>
      <c r="F15" s="4"/>
      <c r="G15" s="4"/>
      <c r="H15" s="4"/>
      <c r="I15" s="4"/>
      <c r="J15" s="4">
        <f t="shared" si="0"/>
        <v>0</v>
      </c>
      <c r="K15" s="4">
        <f t="shared" si="1"/>
        <v>0</v>
      </c>
      <c r="L15" s="4">
        <f t="shared" si="2"/>
        <v>0</v>
      </c>
      <c r="M15" s="4">
        <f t="shared" si="3"/>
        <v>0</v>
      </c>
      <c r="N15" s="4"/>
      <c r="O15" s="4"/>
      <c r="P15" s="4"/>
      <c r="Q15" s="4" t="str">
        <f t="shared" si="4"/>
        <v>\u2713 OK</v>
      </c>
      <c r="R15" s="4"/>
    </row>
    <row r="16" ht="17" customHeight="1" spans="1:18">
      <c r="A16" s="4">
        <v>15</v>
      </c>
      <c r="B16" s="4"/>
      <c r="C16" s="4"/>
      <c r="D16" s="4"/>
      <c r="E16" s="4"/>
      <c r="F16" s="4"/>
      <c r="G16" s="4"/>
      <c r="H16" s="4"/>
      <c r="I16" s="4"/>
      <c r="J16" s="4">
        <f t="shared" si="0"/>
        <v>0</v>
      </c>
      <c r="K16" s="4">
        <f t="shared" si="1"/>
        <v>0</v>
      </c>
      <c r="L16" s="4">
        <f t="shared" si="2"/>
        <v>0</v>
      </c>
      <c r="M16" s="4">
        <f t="shared" si="3"/>
        <v>0</v>
      </c>
      <c r="N16" s="4"/>
      <c r="O16" s="4"/>
      <c r="P16" s="4"/>
      <c r="Q16" s="4" t="str">
        <f t="shared" si="4"/>
        <v>\u2713 OK</v>
      </c>
      <c r="R16" s="4"/>
    </row>
    <row r="17" ht="17" customHeight="1" spans="1:18">
      <c r="A17" s="4">
        <v>16</v>
      </c>
      <c r="B17" s="4"/>
      <c r="C17" s="4"/>
      <c r="D17" s="4"/>
      <c r="E17" s="4"/>
      <c r="F17" s="4"/>
      <c r="G17" s="4"/>
      <c r="H17" s="4"/>
      <c r="I17" s="4"/>
      <c r="J17" s="4">
        <f t="shared" si="0"/>
        <v>0</v>
      </c>
      <c r="K17" s="4">
        <f t="shared" si="1"/>
        <v>0</v>
      </c>
      <c r="L17" s="4">
        <f t="shared" si="2"/>
        <v>0</v>
      </c>
      <c r="M17" s="4">
        <f t="shared" si="3"/>
        <v>0</v>
      </c>
      <c r="N17" s="4"/>
      <c r="O17" s="4"/>
      <c r="P17" s="4"/>
      <c r="Q17" s="4" t="str">
        <f t="shared" si="4"/>
        <v>\u2713 OK</v>
      </c>
      <c r="R17" s="4"/>
    </row>
    <row r="18" ht="17" customHeight="1" spans="1:18">
      <c r="A18" s="4">
        <v>17</v>
      </c>
      <c r="B18" s="4"/>
      <c r="C18" s="4"/>
      <c r="D18" s="4"/>
      <c r="E18" s="4"/>
      <c r="F18" s="4"/>
      <c r="G18" s="4"/>
      <c r="H18" s="4"/>
      <c r="I18" s="4"/>
      <c r="J18" s="4">
        <f t="shared" si="0"/>
        <v>0</v>
      </c>
      <c r="K18" s="4">
        <f t="shared" si="1"/>
        <v>0</v>
      </c>
      <c r="L18" s="4">
        <f t="shared" si="2"/>
        <v>0</v>
      </c>
      <c r="M18" s="4">
        <f t="shared" si="3"/>
        <v>0</v>
      </c>
      <c r="N18" s="4"/>
      <c r="O18" s="4"/>
      <c r="P18" s="4"/>
      <c r="Q18" s="4" t="str">
        <f t="shared" si="4"/>
        <v>\u2713 OK</v>
      </c>
      <c r="R18" s="4"/>
    </row>
    <row r="19" ht="17" customHeight="1" spans="1:18">
      <c r="A19" s="4">
        <v>18</v>
      </c>
      <c r="B19" s="4"/>
      <c r="C19" s="4"/>
      <c r="D19" s="4"/>
      <c r="E19" s="4"/>
      <c r="F19" s="4"/>
      <c r="G19" s="4"/>
      <c r="H19" s="4"/>
      <c r="I19" s="4"/>
      <c r="J19" s="4">
        <f t="shared" si="0"/>
        <v>0</v>
      </c>
      <c r="K19" s="4">
        <f t="shared" si="1"/>
        <v>0</v>
      </c>
      <c r="L19" s="4">
        <f t="shared" si="2"/>
        <v>0</v>
      </c>
      <c r="M19" s="4">
        <f t="shared" si="3"/>
        <v>0</v>
      </c>
      <c r="N19" s="4"/>
      <c r="O19" s="4"/>
      <c r="P19" s="4"/>
      <c r="Q19" s="4" t="str">
        <f t="shared" si="4"/>
        <v>\u2713 OK</v>
      </c>
      <c r="R19" s="4"/>
    </row>
    <row r="20" ht="17" customHeight="1" spans="1:18">
      <c r="A20" s="4">
        <v>19</v>
      </c>
      <c r="B20" s="4"/>
      <c r="C20" s="4"/>
      <c r="D20" s="4"/>
      <c r="E20" s="4"/>
      <c r="F20" s="4"/>
      <c r="G20" s="4"/>
      <c r="H20" s="4"/>
      <c r="I20" s="4"/>
      <c r="J20" s="4">
        <f t="shared" si="0"/>
        <v>0</v>
      </c>
      <c r="K20" s="4">
        <f t="shared" si="1"/>
        <v>0</v>
      </c>
      <c r="L20" s="4">
        <f t="shared" si="2"/>
        <v>0</v>
      </c>
      <c r="M20" s="4">
        <f t="shared" si="3"/>
        <v>0</v>
      </c>
      <c r="N20" s="4"/>
      <c r="O20" s="4"/>
      <c r="P20" s="4"/>
      <c r="Q20" s="4" t="str">
        <f t="shared" si="4"/>
        <v>\u2713 OK</v>
      </c>
      <c r="R20" s="4"/>
    </row>
    <row r="21" ht="17" customHeight="1" spans="1:18">
      <c r="A21" s="4">
        <v>20</v>
      </c>
      <c r="B21" s="4"/>
      <c r="C21" s="4"/>
      <c r="D21" s="4"/>
      <c r="E21" s="4"/>
      <c r="F21" s="4"/>
      <c r="G21" s="4"/>
      <c r="H21" s="4"/>
      <c r="I21" s="4"/>
      <c r="J21" s="4">
        <f t="shared" si="0"/>
        <v>0</v>
      </c>
      <c r="K21" s="4">
        <f t="shared" si="1"/>
        <v>0</v>
      </c>
      <c r="L21" s="4">
        <f t="shared" si="2"/>
        <v>0</v>
      </c>
      <c r="M21" s="4">
        <f t="shared" si="3"/>
        <v>0</v>
      </c>
      <c r="N21" s="4"/>
      <c r="O21" s="4"/>
      <c r="P21" s="4"/>
      <c r="Q21" s="4" t="str">
        <f t="shared" si="4"/>
        <v>\u2713 OK</v>
      </c>
      <c r="R21" s="4"/>
    </row>
    <row r="22" ht="17" customHeight="1" spans="1:18">
      <c r="A22" s="4">
        <v>21</v>
      </c>
      <c r="B22" s="4"/>
      <c r="C22" s="4"/>
      <c r="D22" s="4"/>
      <c r="E22" s="4"/>
      <c r="F22" s="4"/>
      <c r="G22" s="4"/>
      <c r="H22" s="4"/>
      <c r="I22" s="4"/>
      <c r="J22" s="4">
        <f t="shared" si="0"/>
        <v>0</v>
      </c>
      <c r="K22" s="4">
        <f t="shared" si="1"/>
        <v>0</v>
      </c>
      <c r="L22" s="4">
        <f t="shared" si="2"/>
        <v>0</v>
      </c>
      <c r="M22" s="4">
        <f t="shared" si="3"/>
        <v>0</v>
      </c>
      <c r="N22" s="4"/>
      <c r="O22" s="4"/>
      <c r="P22" s="4"/>
      <c r="Q22" s="4" t="str">
        <f t="shared" si="4"/>
        <v>\u2713 OK</v>
      </c>
      <c r="R22" s="4"/>
    </row>
    <row r="23" ht="17" customHeight="1" spans="1:18">
      <c r="A23" s="4">
        <v>22</v>
      </c>
      <c r="B23" s="4"/>
      <c r="C23" s="4"/>
      <c r="D23" s="4"/>
      <c r="E23" s="4"/>
      <c r="F23" s="4"/>
      <c r="G23" s="4"/>
      <c r="H23" s="4"/>
      <c r="I23" s="4"/>
      <c r="J23" s="4">
        <f t="shared" si="0"/>
        <v>0</v>
      </c>
      <c r="K23" s="4">
        <f t="shared" si="1"/>
        <v>0</v>
      </c>
      <c r="L23" s="4">
        <f t="shared" si="2"/>
        <v>0</v>
      </c>
      <c r="M23" s="4">
        <f t="shared" si="3"/>
        <v>0</v>
      </c>
      <c r="N23" s="4"/>
      <c r="O23" s="4"/>
      <c r="P23" s="4"/>
      <c r="Q23" s="4" t="str">
        <f t="shared" si="4"/>
        <v>\u2713 OK</v>
      </c>
      <c r="R23" s="4"/>
    </row>
    <row r="24" ht="17" customHeight="1" spans="1:18">
      <c r="A24" s="4">
        <v>23</v>
      </c>
      <c r="B24" s="4"/>
      <c r="C24" s="4"/>
      <c r="D24" s="4"/>
      <c r="E24" s="4"/>
      <c r="F24" s="4"/>
      <c r="G24" s="4"/>
      <c r="H24" s="4"/>
      <c r="I24" s="4"/>
      <c r="J24" s="4">
        <f t="shared" si="0"/>
        <v>0</v>
      </c>
      <c r="K24" s="4">
        <f t="shared" si="1"/>
        <v>0</v>
      </c>
      <c r="L24" s="4">
        <f t="shared" si="2"/>
        <v>0</v>
      </c>
      <c r="M24" s="4">
        <f t="shared" si="3"/>
        <v>0</v>
      </c>
      <c r="N24" s="4"/>
      <c r="O24" s="4"/>
      <c r="P24" s="4"/>
      <c r="Q24" s="4" t="str">
        <f t="shared" si="4"/>
        <v>\u2713 OK</v>
      </c>
      <c r="R24" s="4"/>
    </row>
    <row r="25" ht="17" customHeight="1" spans="1:18">
      <c r="A25" s="4">
        <v>24</v>
      </c>
      <c r="B25" s="4"/>
      <c r="C25" s="4"/>
      <c r="D25" s="4"/>
      <c r="E25" s="4"/>
      <c r="F25" s="4"/>
      <c r="G25" s="4"/>
      <c r="H25" s="4"/>
      <c r="I25" s="4"/>
      <c r="J25" s="4">
        <f t="shared" si="0"/>
        <v>0</v>
      </c>
      <c r="K25" s="4">
        <f t="shared" si="1"/>
        <v>0</v>
      </c>
      <c r="L25" s="4">
        <f t="shared" si="2"/>
        <v>0</v>
      </c>
      <c r="M25" s="4">
        <f t="shared" si="3"/>
        <v>0</v>
      </c>
      <c r="N25" s="4"/>
      <c r="O25" s="4"/>
      <c r="P25" s="4"/>
      <c r="Q25" s="4" t="str">
        <f t="shared" si="4"/>
        <v>\u2713 OK</v>
      </c>
      <c r="R25" s="4"/>
    </row>
    <row r="26" ht="17" customHeight="1" spans="1:18">
      <c r="A26" s="4">
        <v>25</v>
      </c>
      <c r="B26" s="4"/>
      <c r="C26" s="4"/>
      <c r="D26" s="4"/>
      <c r="E26" s="4"/>
      <c r="F26" s="4"/>
      <c r="G26" s="4"/>
      <c r="H26" s="4"/>
      <c r="I26" s="4"/>
      <c r="J26" s="4">
        <f t="shared" si="0"/>
        <v>0</v>
      </c>
      <c r="K26" s="4">
        <f t="shared" si="1"/>
        <v>0</v>
      </c>
      <c r="L26" s="4">
        <f t="shared" si="2"/>
        <v>0</v>
      </c>
      <c r="M26" s="4">
        <f t="shared" si="3"/>
        <v>0</v>
      </c>
      <c r="N26" s="4"/>
      <c r="O26" s="4"/>
      <c r="P26" s="4"/>
      <c r="Q26" s="4" t="str">
        <f t="shared" si="4"/>
        <v>\u2713 OK</v>
      </c>
      <c r="R26" s="4"/>
    </row>
    <row r="27" ht="17" customHeight="1" spans="1:18">
      <c r="A27" s="4">
        <v>26</v>
      </c>
      <c r="B27" s="4"/>
      <c r="C27" s="4"/>
      <c r="D27" s="4"/>
      <c r="E27" s="4"/>
      <c r="F27" s="4"/>
      <c r="G27" s="4"/>
      <c r="H27" s="4"/>
      <c r="I27" s="4"/>
      <c r="J27" s="4">
        <f t="shared" si="0"/>
        <v>0</v>
      </c>
      <c r="K27" s="4">
        <f t="shared" si="1"/>
        <v>0</v>
      </c>
      <c r="L27" s="4">
        <f t="shared" si="2"/>
        <v>0</v>
      </c>
      <c r="M27" s="4">
        <f t="shared" si="3"/>
        <v>0</v>
      </c>
      <c r="N27" s="4"/>
      <c r="O27" s="4"/>
      <c r="P27" s="4"/>
      <c r="Q27" s="4" t="str">
        <f t="shared" si="4"/>
        <v>\u2713 OK</v>
      </c>
      <c r="R27" s="4"/>
    </row>
    <row r="28" ht="17" customHeight="1" spans="1:18">
      <c r="A28" s="4">
        <v>27</v>
      </c>
      <c r="B28" s="4"/>
      <c r="C28" s="4"/>
      <c r="D28" s="4"/>
      <c r="E28" s="4"/>
      <c r="F28" s="4"/>
      <c r="G28" s="4"/>
      <c r="H28" s="4"/>
      <c r="I28" s="4"/>
      <c r="J28" s="4">
        <f t="shared" si="0"/>
        <v>0</v>
      </c>
      <c r="K28" s="4">
        <f t="shared" si="1"/>
        <v>0</v>
      </c>
      <c r="L28" s="4">
        <f t="shared" si="2"/>
        <v>0</v>
      </c>
      <c r="M28" s="4">
        <f t="shared" si="3"/>
        <v>0</v>
      </c>
      <c r="N28" s="4"/>
      <c r="O28" s="4"/>
      <c r="P28" s="4"/>
      <c r="Q28" s="4" t="str">
        <f t="shared" si="4"/>
        <v>\u2713 OK</v>
      </c>
      <c r="R28" s="4"/>
    </row>
    <row r="29" ht="17" customHeight="1" spans="1:18">
      <c r="A29" s="4">
        <v>28</v>
      </c>
      <c r="B29" s="4"/>
      <c r="C29" s="4"/>
      <c r="D29" s="4"/>
      <c r="E29" s="4"/>
      <c r="F29" s="4"/>
      <c r="G29" s="4"/>
      <c r="H29" s="4"/>
      <c r="I29" s="4"/>
      <c r="J29" s="4">
        <f t="shared" si="0"/>
        <v>0</v>
      </c>
      <c r="K29" s="4">
        <f t="shared" si="1"/>
        <v>0</v>
      </c>
      <c r="L29" s="4">
        <f t="shared" si="2"/>
        <v>0</v>
      </c>
      <c r="M29" s="4">
        <f t="shared" si="3"/>
        <v>0</v>
      </c>
      <c r="N29" s="4"/>
      <c r="O29" s="4"/>
      <c r="P29" s="4"/>
      <c r="Q29" s="4" t="str">
        <f t="shared" si="4"/>
        <v>\u2713 OK</v>
      </c>
      <c r="R29" s="4"/>
    </row>
    <row r="30" ht="17" customHeight="1" spans="1:18">
      <c r="A30" s="4">
        <v>29</v>
      </c>
      <c r="B30" s="4"/>
      <c r="C30" s="4"/>
      <c r="D30" s="4"/>
      <c r="E30" s="4"/>
      <c r="F30" s="4"/>
      <c r="G30" s="4"/>
      <c r="H30" s="4"/>
      <c r="I30" s="4"/>
      <c r="J30" s="4">
        <f t="shared" si="0"/>
        <v>0</v>
      </c>
      <c r="K30" s="4">
        <f t="shared" si="1"/>
        <v>0</v>
      </c>
      <c r="L30" s="4">
        <f t="shared" si="2"/>
        <v>0</v>
      </c>
      <c r="M30" s="4">
        <f t="shared" si="3"/>
        <v>0</v>
      </c>
      <c r="N30" s="4"/>
      <c r="O30" s="4"/>
      <c r="P30" s="4"/>
      <c r="Q30" s="4" t="str">
        <f t="shared" si="4"/>
        <v>\u2713 OK</v>
      </c>
      <c r="R30" s="4"/>
    </row>
    <row r="31" ht="17" customHeight="1" spans="1:18">
      <c r="A31" s="4">
        <v>30</v>
      </c>
      <c r="B31" s="4"/>
      <c r="C31" s="4"/>
      <c r="D31" s="4"/>
      <c r="E31" s="4"/>
      <c r="F31" s="4"/>
      <c r="G31" s="4"/>
      <c r="H31" s="4"/>
      <c r="I31" s="4"/>
      <c r="J31" s="4">
        <f t="shared" si="0"/>
        <v>0</v>
      </c>
      <c r="K31" s="4">
        <f t="shared" si="1"/>
        <v>0</v>
      </c>
      <c r="L31" s="4">
        <f t="shared" si="2"/>
        <v>0</v>
      </c>
      <c r="M31" s="4">
        <f t="shared" si="3"/>
        <v>0</v>
      </c>
      <c r="N31" s="4"/>
      <c r="O31" s="4"/>
      <c r="P31" s="4"/>
      <c r="Q31" s="4" t="str">
        <f t="shared" si="4"/>
        <v>\u2713 OK</v>
      </c>
      <c r="R31" s="4"/>
    </row>
  </sheetData>
  <pageMargins left="0.75" right="0.75" top="1" bottom="1" header="0.5" footer="0.5"/>
  <headerFooter/>
  <ignoredErrors>
    <ignoredError sqref="A1:R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pane ySplit="1" topLeftCell="A2" activePane="bottomLeft" state="frozen"/>
      <selection/>
      <selection pane="bottomLeft" activeCell="K14" sqref="K14"/>
    </sheetView>
  </sheetViews>
  <sheetFormatPr defaultColWidth="9" defaultRowHeight="14.25"/>
  <cols>
    <col min="1" max="1" width="79.125" customWidth="1"/>
  </cols>
  <sheetData>
    <row r="1" ht="21" customHeight="1" spans="1:1">
      <c r="A1" s="1" t="s">
        <v>211</v>
      </c>
    </row>
    <row r="2" ht="21" customHeight="1" spans="1:1">
      <c r="A2" s="2"/>
    </row>
    <row r="3" ht="21" customHeight="1" spans="1:1">
      <c r="A3" s="2" t="s">
        <v>212</v>
      </c>
    </row>
    <row r="4" ht="21" customHeight="1" spans="1:1">
      <c r="A4" s="2" t="s">
        <v>213</v>
      </c>
    </row>
    <row r="5" ht="21" customHeight="1" spans="1:1">
      <c r="A5" s="2" t="s">
        <v>214</v>
      </c>
    </row>
    <row r="6" ht="21" customHeight="1" spans="1:1">
      <c r="A6" s="2" t="s">
        <v>215</v>
      </c>
    </row>
    <row r="7" ht="21" customHeight="1" spans="1:1">
      <c r="A7" s="2" t="s">
        <v>216</v>
      </c>
    </row>
    <row r="8" ht="21" customHeight="1" spans="1:1">
      <c r="A8" s="2"/>
    </row>
    <row r="9" ht="21" customHeight="1" spans="1:1">
      <c r="A9" s="27" t="s">
        <v>217</v>
      </c>
    </row>
    <row r="10" ht="21" customHeight="1" spans="1:1">
      <c r="A10" s="2" t="s">
        <v>218</v>
      </c>
    </row>
    <row r="11" ht="21" customHeight="1" spans="1:1">
      <c r="A11" s="2" t="s">
        <v>219</v>
      </c>
    </row>
    <row r="12" ht="21" customHeight="1" spans="1:1">
      <c r="A12" s="2" t="s">
        <v>220</v>
      </c>
    </row>
    <row r="13" ht="21" customHeight="1" spans="1:1">
      <c r="A13" s="2" t="s">
        <v>221</v>
      </c>
    </row>
    <row r="14" ht="21" customHeight="1" spans="1:1">
      <c r="A14" s="2"/>
    </row>
    <row r="15" ht="21" customHeight="1" spans="1:1">
      <c r="A15" s="2" t="s">
        <v>222</v>
      </c>
    </row>
    <row r="16" ht="21" customHeight="1" spans="1:1">
      <c r="A16" s="2" t="s">
        <v>223</v>
      </c>
    </row>
    <row r="17" ht="21" customHeight="1" spans="1:1">
      <c r="A17" s="2" t="s">
        <v>224</v>
      </c>
    </row>
    <row r="18" ht="21" customHeight="1" spans="1:1">
      <c r="A18" s="2" t="s">
        <v>225</v>
      </c>
    </row>
    <row r="19" ht="21" customHeight="1" spans="1:1">
      <c r="A19" s="2"/>
    </row>
    <row r="20" ht="21" customHeight="1" spans="1:1">
      <c r="A20" s="2" t="s">
        <v>226</v>
      </c>
    </row>
    <row r="21" ht="21" customHeight="1" spans="1:1">
      <c r="A21" s="2" t="s">
        <v>227</v>
      </c>
    </row>
    <row r="22" ht="21" customHeight="1" spans="1:1">
      <c r="A22" s="2" t="s">
        <v>228</v>
      </c>
    </row>
    <row r="23" ht="21" customHeight="1" spans="1:1">
      <c r="A23" s="2" t="s">
        <v>229</v>
      </c>
    </row>
    <row r="24" ht="21" customHeight="1" spans="1:1">
      <c r="A24" s="2" t="s">
        <v>230</v>
      </c>
    </row>
    <row r="25" ht="21" customHeight="1" spans="1:1">
      <c r="A25" s="2" t="s">
        <v>231</v>
      </c>
    </row>
    <row r="26" ht="21" customHeight="1" spans="1:1">
      <c r="A26" s="2"/>
    </row>
    <row r="27" ht="21" customHeight="1" spans="1:1">
      <c r="A27" s="2" t="s">
        <v>232</v>
      </c>
    </row>
    <row r="28" ht="21" customHeight="1" spans="1:1">
      <c r="A28" s="2" t="s">
        <v>233</v>
      </c>
    </row>
    <row r="29" ht="21" customHeight="1" spans="1:1">
      <c r="A29" s="2" t="s">
        <v>234</v>
      </c>
    </row>
    <row r="30" ht="21" customHeight="1" spans="1:1">
      <c r="A30" s="2" t="s">
        <v>235</v>
      </c>
    </row>
    <row r="31" ht="21" customHeight="1" spans="1:1">
      <c r="A31" s="2" t="s">
        <v>236</v>
      </c>
    </row>
  </sheetData>
  <pageMargins left="0.75" right="0.75" top="1" bottom="1" header="0.5" footer="0.5"/>
  <headerFooter/>
  <ignoredErrors>
    <ignoredError sqref="A1:A8 A10:A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1-先看懂逻辑</vt:lpstr>
      <vt:lpstr>2-品牌折扣率(去后台抄)</vt:lpstr>
      <vt:lpstr>3-餐饮折扣(填数自动算)</vt:lpstr>
      <vt:lpstr>4-通用券CPS专用验算</vt:lpstr>
      <vt:lpstr>5-24个场景答案(直接对)</vt:lpstr>
      <vt:lpstr>6-测试记录(边测边填)</vt:lpstr>
      <vt:lpstr>7-怎么用(先看)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2026-03-14T06:54:00Z</dcterms:created>
  <dcterms:modified xsi:type="dcterms:W3CDTF">2026-03-17T07:52:47Z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C7D668C5FED14A77B6529C163BA73C4F_12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