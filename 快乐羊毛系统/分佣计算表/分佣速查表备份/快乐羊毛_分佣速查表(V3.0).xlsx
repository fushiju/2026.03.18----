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 activeTab="1"/>
  </bookViews>
  <sheets>
    <sheet name="1-分佣逻辑(先看)" sheetId="1" r:id="rId1"/>
    <sheet name="3-餐饮折扣(填数自动算)" sheetId="2" r:id="rId2"/>
    <sheet name="4-通用券CPS(填数自动算)" sheetId="3" r:id="rId3"/>
    <sheet name="5-场景答案速查" sheetId="4" r:id="rId4"/>
    <sheet name="6-测试记录(边测边填)" sheetId="5" r:id="rId5"/>
    <sheet name="7-使用说明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<sst xmlns="http://schemas.openxmlformats.org/spreadsheetml/2006/main" count="238" uniqueCount="155">
  <si>
    <t>快乐羊毛分佣速查表</t>
  </si>
  <si>
    <t>平台+代理商=100%，利润全分完，分销员从代理商里扣</t>
  </si>
  <si>
    <t/>
  </si>
  <si>
    <t>=== 算利润 ===</t>
  </si>
  <si>
    <t>利润 = 用户实付 - 后台原价(成本)</t>
  </si>
  <si>
    <t>CPS类：第三方给的佣金直接就是利润，不扣成本</t>
  </si>
  <si>
    <t>=== 怎么分 ===</t>
  </si>
  <si>
    <t>平台X% + 代理商Y% = 100%</t>
  </si>
  <si>
    <t>分销员Z%从代理商Y%里扣</t>
  </si>
  <si>
    <t>=== 只有3个角色 ===</t>
  </si>
  <si>
    <t>平台、代理商、分销员(一级+二级)</t>
  </si>
  <si>
    <t>没有：技师、经纪人、渠道员、业务员</t>
  </si>
  <si>
    <t>餐饮折扣 万能验算模板</t>
  </si>
  <si>
    <t>改蓝色数字，下面自动算</t>
  </si>
  <si>
    <t>【你填这些】</t>
  </si>
  <si>
    <t>填这里</t>
  </si>
  <si>
    <t>说明</t>
  </si>
  <si>
    <t>品牌名称</t>
  </si>
  <si>
    <t>张三烤肉店</t>
  </si>
  <si>
    <t>你测的哪个品牌</t>
  </si>
  <si>
    <t>折扣率（小数）</t>
  </si>
  <si>
    <t>8折填0.80，8.5折填0.85</t>
  </si>
  <si>
    <t>用户消费原价</t>
  </si>
  <si>
    <t>消费了多少钱</t>
  </si>
  <si>
    <t>投入成本(后台原价)</t>
  </si>
  <si>
    <t>不确定填0</t>
  </si>
  <si>
    <t>平台比例%</t>
  </si>
  <si>
    <t>后台分佣配置看</t>
  </si>
  <si>
    <t>代理商比例%</t>
  </si>
  <si>
    <t>平台+代理商=100%</t>
  </si>
  <si>
    <t>一级分销员比例%</t>
  </si>
  <si>
    <t>没有填0</t>
  </si>
  <si>
    <t>二级分销员比例%</t>
  </si>
  <si>
    <t>【自动计算(别动)】</t>
  </si>
  <si>
    <t>结果</t>
  </si>
  <si>
    <t>公式</t>
  </si>
  <si>
    <t>实付金额</t>
  </si>
  <si>
    <t>= 原价 x 折扣率</t>
  </si>
  <si>
    <t>优惠金额</t>
  </si>
  <si>
    <t>= 原价 - 实付</t>
  </si>
  <si>
    <t>分佣基数(利润)</t>
  </si>
  <si>
    <t>= 实付 - 成本</t>
  </si>
  <si>
    <t>平台佣金</t>
  </si>
  <si>
    <t>= 利润 x 平台%</t>
  </si>
  <si>
    <t>代理商总佣金</t>
  </si>
  <si>
    <t>= 利润 x 代理商%</t>
  </si>
  <si>
    <t>一级分销员佣金</t>
  </si>
  <si>
    <t>= 利润 x 一级%</t>
  </si>
  <si>
    <t>二级分销员佣金</t>
  </si>
  <si>
    <t>= 利润 x 二级%</t>
  </si>
  <si>
    <t>代理商实际到手</t>
  </si>
  <si>
    <t>= 代理商总 - 一级 - 二级</t>
  </si>
  <si>
    <t>【自动校验】</t>
  </si>
  <si>
    <t>分佣总和</t>
  </si>
  <si>
    <t>等于利润吗？</t>
  </si>
  <si>
    <t>代理商没负数？</t>
  </si>
  <si>
    <t>平台+代理商=100%？</t>
  </si>
  <si>
    <t>通用券/充值/CPS 专用验算</t>
  </si>
  <si>
    <t>分佣基数 = 第三方佣金，不扣成本</t>
  </si>
  <si>
    <t>业务类型</t>
  </si>
  <si>
    <t>通用券</t>
  </si>
  <si>
    <t>通用券/充值/红包/打车/家电</t>
  </si>
  <si>
    <t>品牌/商品名</t>
  </si>
  <si>
    <t>美团通用券10元</t>
  </si>
  <si>
    <t>用户支付金额</t>
  </si>
  <si>
    <t>仅参考！不参与分佣</t>
  </si>
  <si>
    <t>API佣金/录入佣金</t>
  </si>
  <si>
    <t>这个才是分佣基数！</t>
  </si>
  <si>
    <t>【自动计算】</t>
  </si>
  <si>
    <t>分佣基数</t>
  </si>
  <si>
    <t>【校验】</t>
  </si>
  <si>
    <t>等于基数？</t>
  </si>
  <si>
    <t>编号</t>
  </si>
  <si>
    <t>类型</t>
  </si>
  <si>
    <t>品牌</t>
  </si>
  <si>
    <t>折扣</t>
  </si>
  <si>
    <t>利润</t>
  </si>
  <si>
    <t>平台%</t>
  </si>
  <si>
    <t>代理商%</t>
  </si>
  <si>
    <t>一级%</t>
  </si>
  <si>
    <t>二级%</t>
  </si>
  <si>
    <t>代理商总</t>
  </si>
  <si>
    <t>一级</t>
  </si>
  <si>
    <t>二级</t>
  </si>
  <si>
    <t>代理商实得</t>
  </si>
  <si>
    <t>验证</t>
  </si>
  <si>
    <t>S01</t>
  </si>
  <si>
    <t>餐饮-人工辅助</t>
  </si>
  <si>
    <t>张三烤肉</t>
  </si>
  <si>
    <t>8.5折</t>
  </si>
  <si>
    <t>S02</t>
  </si>
  <si>
    <t>大额</t>
  </si>
  <si>
    <t>S03</t>
  </si>
  <si>
    <t>无分销</t>
  </si>
  <si>
    <t>S04</t>
  </si>
  <si>
    <t>含二级</t>
  </si>
  <si>
    <t>S05</t>
  </si>
  <si>
    <t>李四火锅</t>
  </si>
  <si>
    <t>8折</t>
  </si>
  <si>
    <t>S06</t>
  </si>
  <si>
    <t>餐饮-系统直连</t>
  </si>
  <si>
    <t>网红茶饮</t>
  </si>
  <si>
    <t>7.5折</t>
  </si>
  <si>
    <t>S07</t>
  </si>
  <si>
    <t>餐饮(有成本)</t>
  </si>
  <si>
    <t>某品牌</t>
  </si>
  <si>
    <t>利润50</t>
  </si>
  <si>
    <t>成本30</t>
  </si>
  <si>
    <t>S08</t>
  </si>
  <si>
    <t>全额退款</t>
  </si>
  <si>
    <t>某奶茶</t>
  </si>
  <si>
    <t>退款</t>
  </si>
  <si>
    <t>S09</t>
  </si>
  <si>
    <t>美团10元</t>
  </si>
  <si>
    <t>API佣金</t>
  </si>
  <si>
    <t>S10</t>
  </si>
  <si>
    <t>充值</t>
  </si>
  <si>
    <t>话费50</t>
  </si>
  <si>
    <t>S11</t>
  </si>
  <si>
    <t>CPS</t>
  </si>
  <si>
    <t>麦当劳</t>
  </si>
  <si>
    <t>渠道佣金</t>
  </si>
  <si>
    <t>S12</t>
  </si>
  <si>
    <t>外卖红包</t>
  </si>
  <si>
    <t>Excel录入</t>
  </si>
  <si>
    <t>S13</t>
  </si>
  <si>
    <t>京东冰箱</t>
  </si>
  <si>
    <t>联盟佣金</t>
  </si>
  <si>
    <t>S14</t>
  </si>
  <si>
    <t>购物返利</t>
  </si>
  <si>
    <t>淘宝</t>
  </si>
  <si>
    <t>S15</t>
  </si>
  <si>
    <t>边界</t>
  </si>
  <si>
    <t>极小金额</t>
  </si>
  <si>
    <t>S16</t>
  </si>
  <si>
    <t>序号</t>
  </si>
  <si>
    <t>日期</t>
  </si>
  <si>
    <t>订单号</t>
  </si>
  <si>
    <t>利润/基数</t>
  </si>
  <si>
    <t>应得-平台</t>
  </si>
  <si>
    <t>应得-代理商总</t>
  </si>
  <si>
    <t>应得-一级</t>
  </si>
  <si>
    <t>应得-二级</t>
  </si>
  <si>
    <t>应得-代理商实得</t>
  </si>
  <si>
    <t>实际-平台</t>
  </si>
  <si>
    <t>实际-代理商</t>
  </si>
  <si>
    <t>实际-一级</t>
  </si>
  <si>
    <t>实际-二级</t>
  </si>
  <si>
    <t>Bug编号</t>
  </si>
  <si>
    <t>使用说明</t>
  </si>
  <si>
    <t>Sheet3：改蓝色数字 -&gt; 结果自动算（有Excel公式）</t>
  </si>
  <si>
    <t>Sheet4：改API佣金和比例 -&gt; 自动算</t>
  </si>
  <si>
    <t>Sheet5：16个预算好的答案，直接对</t>
  </si>
  <si>
    <t>Sheet6：填利润和比例 -&gt; 应得自动算 -&gt; 填实际 -&gt; 自动判PASS/FAIL</t>
  </si>
  <si>
    <t>核心：平台%+代理商%=100%，分销员从代理商扣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</si>
</sst>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workbookViewId="0">
      <selection activeCell="A22" sqref="A22"/>
    </sheetView>
  </sheetViews>
  <sheetFormatPr defaultColWidth="9" defaultRowHeight="13.5"/>
  <cols>
    <col min="1" max="1" width="70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2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2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workbookViewId="0">
      <selection activeCell="H14" sqref="H14"/>
    </sheetView>
  </sheetViews>
  <sheetFormatPr defaultColWidth="9" defaultRowHeight="13.5" outlineLevelCol="3"/>
  <cols>
    <col min="1" max="1" width="22" customWidth="1"/>
    <col min="2" max="2" width="28" customWidth="1"/>
    <col min="3" max="3" width="5" customWidth="1"/>
    <col min="4" max="4" width="35" customWidth="1"/>
  </cols>
  <sheetData>
    <row r="1" spans="1:4">
      <c r="A1" t="s">
        <v>12</v>
      </c>
    </row>
    <row r="2" spans="1:4">
      <c r="A2" t="s">
        <v>13</v>
      </c>
    </row>
    <row r="4" spans="1:4">
      <c r="A4" t="s">
        <v>14</v>
      </c>
      <c r="B4" t="s">
        <v>15</v>
      </c>
      <c r="C4" t="s">
        <v>2</v>
      </c>
      <c r="D4" t="s">
        <v>16</v>
      </c>
    </row>
    <row r="5" spans="1:4">
      <c r="A5" t="s">
        <v>17</v>
      </c>
      <c r="B5" t="s">
        <v>18</v>
      </c>
      <c r="C5" t="s">
        <v>2</v>
      </c>
      <c r="D5" t="s">
        <v>19</v>
      </c>
    </row>
    <row r="6" spans="1:4">
      <c r="A6" t="s">
        <v>20</v>
      </c>
      <c r="B6">
        <v>0.8</v>
      </c>
      <c r="C6" t="s">
        <v>2</v>
      </c>
      <c r="D6" t="s">
        <v>21</v>
      </c>
    </row>
    <row r="7" spans="1:4">
      <c r="A7" t="s">
        <v>22</v>
      </c>
      <c r="B7">
        <v>100</v>
      </c>
      <c r="C7" t="s">
        <v>2</v>
      </c>
      <c r="D7" t="s">
        <v>23</v>
      </c>
    </row>
    <row r="8" spans="1:4">
      <c r="A8" t="s">
        <v>24</v>
      </c>
      <c r="B8">
        <v>0</v>
      </c>
      <c r="C8" t="s">
        <v>2</v>
      </c>
      <c r="D8" t="s">
        <v>25</v>
      </c>
    </row>
    <row r="9" spans="1:4">
      <c r="A9" t="s">
        <v>26</v>
      </c>
      <c r="B9">
        <v>60</v>
      </c>
      <c r="C9" t="s">
        <v>2</v>
      </c>
      <c r="D9" t="s">
        <v>27</v>
      </c>
    </row>
    <row r="10" spans="1:4">
      <c r="A10" t="s">
        <v>28</v>
      </c>
      <c r="B10">
        <v>40</v>
      </c>
      <c r="C10" t="s">
        <v>2</v>
      </c>
      <c r="D10" t="s">
        <v>29</v>
      </c>
    </row>
    <row r="11" spans="1:4">
      <c r="A11" t="s">
        <v>30</v>
      </c>
      <c r="B11">
        <v>10</v>
      </c>
      <c r="C11" t="s">
        <v>2</v>
      </c>
      <c r="D11" t="s">
        <v>31</v>
      </c>
    </row>
    <row r="12" spans="1:4">
      <c r="A12" t="s">
        <v>32</v>
      </c>
      <c r="B12">
        <v>5</v>
      </c>
      <c r="C12" t="s">
        <v>2</v>
      </c>
      <c r="D12" t="s">
        <v>31</v>
      </c>
    </row>
    <row r="14" spans="1:4">
      <c r="A14" t="s">
        <v>33</v>
      </c>
      <c r="B14" t="s">
        <v>34</v>
      </c>
      <c r="C14" t="s">
        <v>2</v>
      </c>
      <c r="D14" t="s">
        <v>35</v>
      </c>
    </row>
    <row r="15" spans="1:4">
      <c r="A15" t="s">
        <v>36</v>
      </c>
      <c r="B15">
        <f>ROUND(B7*B6,2)</f>
        <v>80</v>
      </c>
      <c r="D15" t="s">
        <v>37</v>
      </c>
    </row>
    <row r="16" spans="1:4">
      <c r="A16" t="s">
        <v>38</v>
      </c>
      <c r="B16">
        <f>ROUND(B7-B15,2)</f>
        <v>20</v>
      </c>
      <c r="D16" t="s">
        <v>39</v>
      </c>
    </row>
    <row r="17" spans="1:4">
      <c r="A17" t="s">
        <v>40</v>
      </c>
      <c r="B17">
        <f>ROUND(B15-B8,2)</f>
        <v>80</v>
      </c>
      <c r="D17" t="s">
        <v>41</v>
      </c>
    </row>
    <row r="19" spans="1:4">
      <c r="A19" t="s">
        <v>42</v>
      </c>
      <c r="B19">
        <f>ROUND(B17*B9/100,2)</f>
        <v>48</v>
      </c>
      <c r="D19" t="s">
        <v>43</v>
      </c>
    </row>
    <row r="20" spans="1:4">
      <c r="A20" t="s">
        <v>44</v>
      </c>
      <c r="B20">
        <f>ROUND(B17*B10/100,2)</f>
        <v>32</v>
      </c>
      <c r="D20" t="s">
        <v>45</v>
      </c>
    </row>
    <row r="21" spans="1:4">
      <c r="A21" t="s">
        <v>46</v>
      </c>
      <c r="B21">
        <f>ROUND(B17*B11/100,2)</f>
        <v>8</v>
      </c>
      <c r="D21" t="s">
        <v>47</v>
      </c>
    </row>
    <row r="22" spans="1:4">
      <c r="A22" t="s">
        <v>48</v>
      </c>
      <c r="B22">
        <f>ROUND(B17*B12/100,2)</f>
        <v>4</v>
      </c>
      <c r="D22" t="s">
        <v>49</v>
      </c>
    </row>
    <row r="23" spans="1:4">
      <c r="A23" t="s">
        <v>50</v>
      </c>
      <c r="B23">
        <f>ROUND(B20-B21-B22,2)</f>
        <v>20</v>
      </c>
      <c r="D23" t="s">
        <v>51</v>
      </c>
    </row>
    <row r="25" spans="1:4">
      <c r="A25" t="s">
        <v>52</v>
      </c>
    </row>
    <row r="26" spans="1:4">
      <c r="A26" t="s">
        <v>53</v>
      </c>
      <c r="B26">
        <f>ROUND(B19+B23+B21+B22,2)</f>
        <v>80</v>
      </c>
    </row>
    <row r="27" spans="1:4">
      <c r="A27" t="s">
        <v>54</v>
      </c>
      <c r="B27" t="str">
        <f>IF(ABS(B26-B17)&lt;0.01,"OK","X")</f>
        <v>OK</v>
      </c>
    </row>
    <row r="28" spans="1:4">
      <c r="A28" t="s">
        <v>55</v>
      </c>
      <c r="B28" t="str">
        <f>IF(B23&gt;=0,"OK","X 负数了")</f>
        <v>OK</v>
      </c>
    </row>
    <row r="29" spans="1:4">
      <c r="A29" t="s">
        <v>56</v>
      </c>
      <c r="B29" t="str">
        <f>IF(B9+B10=100,"OK","X")</f>
        <v>OK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A1" sqref="A1"/>
    </sheetView>
  </sheetViews>
  <sheetFormatPr defaultColWidth="9" defaultRowHeight="13.5" outlineLevelCol="3"/>
  <cols>
    <col min="1" max="1" width="22" customWidth="1"/>
    <col min="2" max="2" width="28" customWidth="1"/>
    <col min="3" max="3" width="5" customWidth="1"/>
    <col min="4" max="4" width="40" customWidth="1"/>
  </cols>
  <sheetData>
    <row r="1" spans="1:4">
      <c r="A1" t="s">
        <v>57</v>
      </c>
    </row>
    <row r="2" spans="1:4">
      <c r="A2" t="s">
        <v>58</v>
      </c>
    </row>
    <row r="4" spans="1:4">
      <c r="A4" t="s">
        <v>14</v>
      </c>
      <c r="B4" t="s">
        <v>15</v>
      </c>
      <c r="C4" t="s">
        <v>2</v>
      </c>
      <c r="D4" t="s">
        <v>16</v>
      </c>
    </row>
    <row r="5" spans="1:4">
      <c r="A5" t="s">
        <v>59</v>
      </c>
      <c r="B5" t="s">
        <v>60</v>
      </c>
      <c r="C5" t="s">
        <v>2</v>
      </c>
      <c r="D5" t="s">
        <v>61</v>
      </c>
    </row>
    <row r="6" spans="1:4">
      <c r="A6" t="s">
        <v>62</v>
      </c>
      <c r="B6" t="s">
        <v>63</v>
      </c>
    </row>
    <row r="7" spans="1:4">
      <c r="A7" t="s">
        <v>64</v>
      </c>
      <c r="B7">
        <v>9.5</v>
      </c>
      <c r="C7" t="s">
        <v>2</v>
      </c>
      <c r="D7" t="s">
        <v>65</v>
      </c>
    </row>
    <row r="8" spans="1:4">
      <c r="A8" t="s">
        <v>66</v>
      </c>
      <c r="B8">
        <v>2</v>
      </c>
      <c r="C8" t="s">
        <v>2</v>
      </c>
      <c r="D8" t="s">
        <v>67</v>
      </c>
    </row>
    <row r="9" spans="1:4">
      <c r="A9" t="s">
        <v>26</v>
      </c>
      <c r="B9">
        <v>60</v>
      </c>
      <c r="C9" t="s">
        <v>2</v>
      </c>
      <c r="D9" t="s">
        <v>29</v>
      </c>
    </row>
    <row r="10" spans="1:4">
      <c r="A10" t="s">
        <v>28</v>
      </c>
      <c r="B10">
        <v>40</v>
      </c>
    </row>
    <row r="11" spans="1:4">
      <c r="A11" t="s">
        <v>30</v>
      </c>
      <c r="B11">
        <v>10</v>
      </c>
      <c r="C11" t="s">
        <v>2</v>
      </c>
      <c r="D11" t="s">
        <v>31</v>
      </c>
    </row>
    <row r="12" spans="1:4">
      <c r="A12" t="s">
        <v>32</v>
      </c>
      <c r="B12">
        <v>0</v>
      </c>
      <c r="C12" t="s">
        <v>2</v>
      </c>
      <c r="D12" t="s">
        <v>31</v>
      </c>
    </row>
    <row r="14" spans="1:4">
      <c r="A14" t="s">
        <v>68</v>
      </c>
      <c r="B14" t="s">
        <v>34</v>
      </c>
      <c r="C14" t="s">
        <v>2</v>
      </c>
      <c r="D14" t="s">
        <v>35</v>
      </c>
    </row>
    <row r="15" spans="1:4">
      <c r="A15" t="s">
        <v>69</v>
      </c>
      <c r="B15">
        <f>B8</f>
        <v>2</v>
      </c>
    </row>
    <row r="16" spans="1:4">
      <c r="A16" t="s">
        <v>42</v>
      </c>
      <c r="B16">
        <f>ROUND(B15*B9/100,2)</f>
        <v>1.2</v>
      </c>
    </row>
    <row r="17" spans="1:2">
      <c r="A17" t="s">
        <v>44</v>
      </c>
      <c r="B17">
        <f>ROUND(B15*B10/100,2)</f>
        <v>0.8</v>
      </c>
    </row>
    <row r="18" spans="1:2">
      <c r="A18" t="s">
        <v>46</v>
      </c>
      <c r="B18">
        <f>ROUND(B15*B11/100,2)</f>
        <v>0.2</v>
      </c>
    </row>
    <row r="19" spans="1:2">
      <c r="A19" t="s">
        <v>48</v>
      </c>
      <c r="B19">
        <f>ROUND(B15*B12/100,2)</f>
        <v>0</v>
      </c>
    </row>
    <row r="20" spans="1:2">
      <c r="A20" t="s">
        <v>50</v>
      </c>
      <c r="B20">
        <f>ROUND(B17-B18-B19,2)</f>
        <v>0.6</v>
      </c>
    </row>
    <row r="22" spans="1:2">
      <c r="A22" t="s">
        <v>70</v>
      </c>
    </row>
    <row r="23" spans="1:2">
      <c r="A23" t="s">
        <v>53</v>
      </c>
      <c r="B23">
        <f>ROUND(B16+B20+B18+B19,2)</f>
        <v>2</v>
      </c>
    </row>
    <row r="24" spans="1:2">
      <c r="A24" t="s">
        <v>71</v>
      </c>
      <c r="B24" t="str">
        <f>IF(ABS(B23-B15)&lt;0.01,"OK","X")</f>
        <v>OK</v>
      </c>
    </row>
    <row r="25" spans="1:2">
      <c r="A25" t="s">
        <v>55</v>
      </c>
      <c r="B25" t="str">
        <f>IF(B20&gt;=0,"OK","X")</f>
        <v>OK</v>
      </c>
    </row>
    <row r="26" spans="1:2">
      <c r="A26" t="s">
        <v>56</v>
      </c>
      <c r="B26" t="str">
        <f>IF(B9+B10=100,"OK","X")</f>
        <v>OK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"/>
    </sheetView>
  </sheetViews>
  <sheetFormatPr defaultColWidth="9" defaultRowHeight="13.5"/>
  <sheetData>
    <row r="1" spans="1:16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42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16</v>
      </c>
    </row>
    <row r="2" spans="1:16">
      <c r="A2" t="s">
        <v>86</v>
      </c>
      <c r="B2" t="s">
        <v>87</v>
      </c>
      <c r="C2" t="s">
        <v>88</v>
      </c>
      <c r="D2" t="s">
        <v>89</v>
      </c>
      <c r="E2">
        <v>85</v>
      </c>
      <c r="F2">
        <v>60</v>
      </c>
      <c r="G2">
        <v>40</v>
      </c>
      <c r="H2">
        <v>10</v>
      </c>
      <c r="I2">
        <v>0</v>
      </c>
      <c r="J2">
        <v>51</v>
      </c>
      <c r="K2">
        <v>34</v>
      </c>
      <c r="L2">
        <v>8.5</v>
      </c>
      <c r="M2">
        <v>0</v>
      </c>
      <c r="N2">
        <v>25.5</v>
      </c>
      <c r="O2">
        <v>85</v>
      </c>
      <c r="P2" t="s">
        <v>2</v>
      </c>
    </row>
    <row r="3" spans="1:16">
      <c r="A3" t="s">
        <v>90</v>
      </c>
      <c r="B3" t="s">
        <v>87</v>
      </c>
      <c r="C3" t="s">
        <v>88</v>
      </c>
      <c r="D3" t="s">
        <v>91</v>
      </c>
      <c r="E3">
        <v>170</v>
      </c>
      <c r="F3">
        <v>60</v>
      </c>
      <c r="G3">
        <v>40</v>
      </c>
      <c r="H3">
        <v>10</v>
      </c>
      <c r="I3">
        <v>0</v>
      </c>
      <c r="J3">
        <v>102</v>
      </c>
      <c r="K3">
        <v>68</v>
      </c>
      <c r="L3">
        <v>17</v>
      </c>
      <c r="M3">
        <v>0</v>
      </c>
      <c r="N3">
        <v>51</v>
      </c>
      <c r="O3">
        <v>170</v>
      </c>
      <c r="P3" t="s">
        <v>2</v>
      </c>
    </row>
    <row r="4" spans="1:16">
      <c r="A4" t="s">
        <v>92</v>
      </c>
      <c r="B4" t="s">
        <v>87</v>
      </c>
      <c r="C4" t="s">
        <v>88</v>
      </c>
      <c r="D4" t="s">
        <v>93</v>
      </c>
      <c r="E4">
        <v>85</v>
      </c>
      <c r="F4">
        <v>60</v>
      </c>
      <c r="G4">
        <v>40</v>
      </c>
      <c r="H4">
        <v>0</v>
      </c>
      <c r="I4">
        <v>0</v>
      </c>
      <c r="J4">
        <v>51</v>
      </c>
      <c r="K4">
        <v>34</v>
      </c>
      <c r="L4">
        <v>0</v>
      </c>
      <c r="M4">
        <v>0</v>
      </c>
      <c r="N4">
        <v>34</v>
      </c>
      <c r="O4">
        <v>85</v>
      </c>
      <c r="P4" t="s">
        <v>2</v>
      </c>
    </row>
    <row r="5" spans="1:16">
      <c r="A5" t="s">
        <v>94</v>
      </c>
      <c r="B5" t="s">
        <v>87</v>
      </c>
      <c r="C5" t="s">
        <v>88</v>
      </c>
      <c r="D5" t="s">
        <v>95</v>
      </c>
      <c r="E5">
        <v>85</v>
      </c>
      <c r="F5">
        <v>60</v>
      </c>
      <c r="G5">
        <v>40</v>
      </c>
      <c r="H5">
        <v>10</v>
      </c>
      <c r="I5">
        <v>5</v>
      </c>
      <c r="J5">
        <v>51</v>
      </c>
      <c r="K5">
        <v>34</v>
      </c>
      <c r="L5">
        <v>8.5</v>
      </c>
      <c r="M5">
        <v>4.25</v>
      </c>
      <c r="N5">
        <v>21.25</v>
      </c>
      <c r="O5">
        <v>85</v>
      </c>
      <c r="P5" t="s">
        <v>2</v>
      </c>
    </row>
    <row r="6" spans="1:16">
      <c r="A6" t="s">
        <v>96</v>
      </c>
      <c r="B6" t="s">
        <v>87</v>
      </c>
      <c r="C6" t="s">
        <v>97</v>
      </c>
      <c r="D6" t="s">
        <v>98</v>
      </c>
      <c r="E6">
        <v>80</v>
      </c>
      <c r="F6">
        <v>60</v>
      </c>
      <c r="G6">
        <v>40</v>
      </c>
      <c r="H6">
        <v>10</v>
      </c>
      <c r="I6">
        <v>0</v>
      </c>
      <c r="J6">
        <v>48</v>
      </c>
      <c r="K6">
        <v>32</v>
      </c>
      <c r="L6">
        <v>8</v>
      </c>
      <c r="M6">
        <v>0</v>
      </c>
      <c r="N6">
        <v>24</v>
      </c>
      <c r="O6">
        <v>80</v>
      </c>
      <c r="P6" t="s">
        <v>2</v>
      </c>
    </row>
    <row r="7" spans="1:16">
      <c r="A7" t="s">
        <v>99</v>
      </c>
      <c r="B7" t="s">
        <v>100</v>
      </c>
      <c r="C7" t="s">
        <v>101</v>
      </c>
      <c r="D7" t="s">
        <v>102</v>
      </c>
      <c r="E7">
        <v>75</v>
      </c>
      <c r="F7">
        <v>60</v>
      </c>
      <c r="G7">
        <v>40</v>
      </c>
      <c r="H7">
        <v>10</v>
      </c>
      <c r="I7">
        <v>0</v>
      </c>
      <c r="J7">
        <v>45</v>
      </c>
      <c r="K7">
        <v>30</v>
      </c>
      <c r="L7">
        <v>7.5</v>
      </c>
      <c r="M7">
        <v>0</v>
      </c>
      <c r="N7">
        <v>22.5</v>
      </c>
      <c r="O7">
        <v>75</v>
      </c>
      <c r="P7" t="s">
        <v>2</v>
      </c>
    </row>
    <row r="8" spans="1:16">
      <c r="A8" t="s">
        <v>103</v>
      </c>
      <c r="B8" t="s">
        <v>104</v>
      </c>
      <c r="C8" t="s">
        <v>105</v>
      </c>
      <c r="D8" t="s">
        <v>106</v>
      </c>
      <c r="E8">
        <v>50</v>
      </c>
      <c r="F8">
        <v>60</v>
      </c>
      <c r="G8">
        <v>40</v>
      </c>
      <c r="H8">
        <v>10</v>
      </c>
      <c r="I8">
        <v>0</v>
      </c>
      <c r="J8">
        <v>30</v>
      </c>
      <c r="K8">
        <v>20</v>
      </c>
      <c r="L8">
        <v>5</v>
      </c>
      <c r="M8">
        <v>0</v>
      </c>
      <c r="N8">
        <v>15</v>
      </c>
      <c r="O8">
        <v>50</v>
      </c>
      <c r="P8" t="s">
        <v>107</v>
      </c>
    </row>
    <row r="9" spans="1:16">
      <c r="A9" t="s">
        <v>108</v>
      </c>
      <c r="B9" t="s">
        <v>109</v>
      </c>
      <c r="C9" t="s">
        <v>110</v>
      </c>
      <c r="D9" t="s">
        <v>111</v>
      </c>
      <c r="E9">
        <v>0</v>
      </c>
      <c r="F9">
        <v>60</v>
      </c>
      <c r="G9">
        <v>40</v>
      </c>
      <c r="H9">
        <v>10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2</v>
      </c>
    </row>
    <row r="10" spans="1:16">
      <c r="A10" t="s">
        <v>112</v>
      </c>
      <c r="B10" t="s">
        <v>60</v>
      </c>
      <c r="C10" t="s">
        <v>113</v>
      </c>
      <c r="D10" t="s">
        <v>114</v>
      </c>
      <c r="E10">
        <v>2</v>
      </c>
      <c r="F10">
        <v>60</v>
      </c>
      <c r="G10">
        <v>40</v>
      </c>
      <c r="H10">
        <v>10</v>
      </c>
      <c r="I10">
        <v>0</v>
      </c>
      <c r="J10">
        <v>1.2</v>
      </c>
      <c r="K10">
        <v>0.8</v>
      </c>
      <c r="L10">
        <v>0.2</v>
      </c>
      <c r="M10">
        <v>0</v>
      </c>
      <c r="N10">
        <v>0.6</v>
      </c>
      <c r="O10">
        <v>2</v>
      </c>
      <c r="P10" t="s">
        <v>2</v>
      </c>
    </row>
    <row r="11" spans="1:16">
      <c r="A11" t="s">
        <v>115</v>
      </c>
      <c r="B11" t="s">
        <v>116</v>
      </c>
      <c r="C11" t="s">
        <v>117</v>
      </c>
      <c r="D11" t="s">
        <v>114</v>
      </c>
      <c r="E11">
        <v>1.5</v>
      </c>
      <c r="F11">
        <v>60</v>
      </c>
      <c r="G11">
        <v>40</v>
      </c>
      <c r="H11">
        <v>10</v>
      </c>
      <c r="I11">
        <v>0</v>
      </c>
      <c r="J11">
        <v>0.9</v>
      </c>
      <c r="K11">
        <v>0.6</v>
      </c>
      <c r="L11">
        <v>0.15</v>
      </c>
      <c r="M11">
        <v>0</v>
      </c>
      <c r="N11">
        <v>0.45</v>
      </c>
      <c r="O11">
        <v>1.5</v>
      </c>
      <c r="P11" t="s">
        <v>2</v>
      </c>
    </row>
    <row r="12" spans="1:16">
      <c r="A12" t="s">
        <v>118</v>
      </c>
      <c r="B12" t="s">
        <v>119</v>
      </c>
      <c r="C12" t="s">
        <v>120</v>
      </c>
      <c r="D12" t="s">
        <v>121</v>
      </c>
      <c r="E12">
        <v>4</v>
      </c>
      <c r="F12">
        <v>60</v>
      </c>
      <c r="G12">
        <v>40</v>
      </c>
      <c r="H12">
        <v>10</v>
      </c>
      <c r="I12">
        <v>0</v>
      </c>
      <c r="J12">
        <v>2.4</v>
      </c>
      <c r="K12">
        <v>1.6</v>
      </c>
      <c r="L12">
        <v>0.4</v>
      </c>
      <c r="M12">
        <v>0</v>
      </c>
      <c r="N12">
        <v>1.2</v>
      </c>
      <c r="O12">
        <v>4</v>
      </c>
      <c r="P12" t="s">
        <v>2</v>
      </c>
    </row>
    <row r="13" spans="1:16">
      <c r="A13" t="s">
        <v>122</v>
      </c>
      <c r="B13" t="s">
        <v>119</v>
      </c>
      <c r="C13" t="s">
        <v>123</v>
      </c>
      <c r="D13" t="s">
        <v>124</v>
      </c>
      <c r="E13">
        <v>3</v>
      </c>
      <c r="F13">
        <v>60</v>
      </c>
      <c r="G13">
        <v>40</v>
      </c>
      <c r="H13">
        <v>10</v>
      </c>
      <c r="I13">
        <v>0</v>
      </c>
      <c r="J13">
        <v>1.8</v>
      </c>
      <c r="K13">
        <v>1.2</v>
      </c>
      <c r="L13">
        <v>0.3</v>
      </c>
      <c r="M13">
        <v>0</v>
      </c>
      <c r="N13">
        <v>0.9</v>
      </c>
      <c r="O13">
        <v>3</v>
      </c>
      <c r="P13" t="s">
        <v>2</v>
      </c>
    </row>
    <row r="14" spans="1:16">
      <c r="A14" t="s">
        <v>125</v>
      </c>
      <c r="B14" t="s">
        <v>119</v>
      </c>
      <c r="C14" t="s">
        <v>126</v>
      </c>
      <c r="D14" t="s">
        <v>127</v>
      </c>
      <c r="E14">
        <v>45</v>
      </c>
      <c r="F14">
        <v>60</v>
      </c>
      <c r="G14">
        <v>40</v>
      </c>
      <c r="H14">
        <v>10</v>
      </c>
      <c r="I14">
        <v>0</v>
      </c>
      <c r="J14">
        <v>27</v>
      </c>
      <c r="K14">
        <v>18</v>
      </c>
      <c r="L14">
        <v>4.5</v>
      </c>
      <c r="M14">
        <v>0</v>
      </c>
      <c r="N14">
        <v>13.5</v>
      </c>
      <c r="O14">
        <v>45</v>
      </c>
      <c r="P14" t="s">
        <v>2</v>
      </c>
    </row>
    <row r="15" spans="1:16">
      <c r="A15" t="s">
        <v>128</v>
      </c>
      <c r="B15" t="s">
        <v>129</v>
      </c>
      <c r="C15" t="s">
        <v>130</v>
      </c>
      <c r="D15" t="s">
        <v>127</v>
      </c>
      <c r="E15">
        <v>8</v>
      </c>
      <c r="F15">
        <v>60</v>
      </c>
      <c r="G15">
        <v>40</v>
      </c>
      <c r="H15">
        <v>10</v>
      </c>
      <c r="I15">
        <v>0</v>
      </c>
      <c r="J15">
        <v>4.8</v>
      </c>
      <c r="K15">
        <v>3.2</v>
      </c>
      <c r="L15">
        <v>0.8</v>
      </c>
      <c r="M15">
        <v>0</v>
      </c>
      <c r="N15">
        <v>2.4</v>
      </c>
      <c r="O15">
        <v>8</v>
      </c>
      <c r="P15" t="s">
        <v>2</v>
      </c>
    </row>
    <row r="16" spans="1:16">
      <c r="A16" t="s">
        <v>131</v>
      </c>
      <c r="B16" t="s">
        <v>132</v>
      </c>
      <c r="C16" t="s">
        <v>133</v>
      </c>
      <c r="D16" t="s">
        <v>2</v>
      </c>
      <c r="E16">
        <v>0.85</v>
      </c>
      <c r="F16">
        <v>60</v>
      </c>
      <c r="G16">
        <v>40</v>
      </c>
      <c r="H16">
        <v>10</v>
      </c>
      <c r="I16">
        <v>0</v>
      </c>
      <c r="J16">
        <v>0.51</v>
      </c>
      <c r="K16">
        <v>0.34</v>
      </c>
      <c r="L16">
        <v>0.085</v>
      </c>
      <c r="M16">
        <v>0</v>
      </c>
      <c r="N16">
        <v>0.255</v>
      </c>
      <c r="O16">
        <v>0.85</v>
      </c>
      <c r="P16" t="s">
        <v>2</v>
      </c>
    </row>
    <row r="17" spans="1:16">
      <c r="A17" t="s">
        <v>134</v>
      </c>
      <c r="B17" t="s">
        <v>132</v>
      </c>
      <c r="C17" t="s">
        <v>91</v>
      </c>
      <c r="D17" t="s">
        <v>2</v>
      </c>
      <c r="E17">
        <v>4000</v>
      </c>
      <c r="F17">
        <v>60</v>
      </c>
      <c r="G17">
        <v>40</v>
      </c>
      <c r="H17">
        <v>10</v>
      </c>
      <c r="I17">
        <v>0</v>
      </c>
      <c r="J17">
        <v>2400</v>
      </c>
      <c r="K17">
        <v>1600</v>
      </c>
      <c r="L17">
        <v>400</v>
      </c>
      <c r="M17">
        <v>0</v>
      </c>
      <c r="N17">
        <v>1200</v>
      </c>
      <c r="O17">
        <v>4000</v>
      </c>
      <c r="P17" t="s">
        <v>2</v>
      </c>
    </row>
  </sheetData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1"/>
  <sheetViews>
    <sheetView workbookViewId="0">
      <selection activeCell="A1" sqref="A1"/>
    </sheetView>
  </sheetViews>
  <sheetFormatPr defaultColWidth="9" defaultRowHeight="13.5"/>
  <sheetData>
    <row r="1" spans="1:21">
      <c r="A1" t="s">
        <v>135</v>
      </c>
      <c r="B1" t="s">
        <v>136</v>
      </c>
      <c r="C1" t="s">
        <v>74</v>
      </c>
      <c r="D1" t="s">
        <v>73</v>
      </c>
      <c r="E1" t="s">
        <v>137</v>
      </c>
      <c r="F1" t="s">
        <v>138</v>
      </c>
      <c r="G1" t="s">
        <v>77</v>
      </c>
      <c r="H1" t="s">
        <v>78</v>
      </c>
      <c r="I1" t="s">
        <v>79</v>
      </c>
      <c r="J1" t="s">
        <v>80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  <c r="R1" t="s">
        <v>146</v>
      </c>
      <c r="S1" t="s">
        <v>147</v>
      </c>
      <c r="T1" t="s">
        <v>34</v>
      </c>
      <c r="U1" t="s">
        <v>148</v>
      </c>
    </row>
    <row r="2" spans="1:21">
      <c r="A2">
        <v>1</v>
      </c>
      <c r="K2" t="str">
        <f t="shared" ref="K2:K31" si="0">IF(F2="","",ROUND(F2*G2/100,2))</f>
        <v/>
      </c>
      <c r="L2" t="str">
        <f t="shared" ref="L2:L31" si="1">IF(F2="","",ROUND(F2*H2/100,2))</f>
        <v/>
      </c>
      <c r="M2" t="str">
        <f t="shared" ref="M2:M31" si="2">IF(F2="","",ROUND(F2*I2/100,2))</f>
        <v/>
      </c>
      <c r="N2" t="str">
        <f t="shared" ref="N2:N31" si="3">IF(F2="","",ROUND(F2*J2/100,2))</f>
        <v/>
      </c>
      <c r="O2" t="str">
        <f t="shared" ref="O2:O31" si="4">IF(F2="","",ROUND(L2-M2-N2,2))</f>
        <v/>
      </c>
      <c r="T2" t="str">
        <f t="shared" ref="T2:T31" si="5">IF(P2="","待测试",IF(AND(P2=K2,Q2=O2,R2=M2),"PASS","FAIL"))</f>
        <v>待测试</v>
      </c>
    </row>
    <row r="3" spans="1:21">
      <c r="A3">
        <v>2</v>
      </c>
      <c r="K3" t="str">
        <f t="shared" si="0"/>
        <v/>
      </c>
      <c r="L3" t="str">
        <f t="shared" si="1"/>
        <v/>
      </c>
      <c r="M3" t="str">
        <f t="shared" si="2"/>
        <v/>
      </c>
      <c r="N3" t="str">
        <f t="shared" si="3"/>
        <v/>
      </c>
      <c r="O3" t="str">
        <f t="shared" si="4"/>
        <v/>
      </c>
      <c r="T3" t="str">
        <f t="shared" si="5"/>
        <v>待测试</v>
      </c>
    </row>
    <row r="4" spans="1:21">
      <c r="A4">
        <v>3</v>
      </c>
      <c r="K4" t="str">
        <f t="shared" si="0"/>
        <v/>
      </c>
      <c r="L4" t="str">
        <f t="shared" si="1"/>
        <v/>
      </c>
      <c r="M4" t="str">
        <f t="shared" si="2"/>
        <v/>
      </c>
      <c r="N4" t="str">
        <f t="shared" si="3"/>
        <v/>
      </c>
      <c r="O4" t="str">
        <f t="shared" si="4"/>
        <v/>
      </c>
      <c r="T4" t="str">
        <f t="shared" si="5"/>
        <v>待测试</v>
      </c>
    </row>
    <row r="5" spans="1:21">
      <c r="A5">
        <v>4</v>
      </c>
      <c r="K5" t="str">
        <f t="shared" si="0"/>
        <v/>
      </c>
      <c r="L5" t="str">
        <f t="shared" si="1"/>
        <v/>
      </c>
      <c r="M5" t="str">
        <f t="shared" si="2"/>
        <v/>
      </c>
      <c r="N5" t="str">
        <f t="shared" si="3"/>
        <v/>
      </c>
      <c r="O5" t="str">
        <f t="shared" si="4"/>
        <v/>
      </c>
      <c r="T5" t="str">
        <f t="shared" si="5"/>
        <v>待测试</v>
      </c>
    </row>
    <row r="6" spans="1:21">
      <c r="A6">
        <v>5</v>
      </c>
      <c r="K6" t="str">
        <f t="shared" si="0"/>
        <v/>
      </c>
      <c r="L6" t="str">
        <f t="shared" si="1"/>
        <v/>
      </c>
      <c r="M6" t="str">
        <f t="shared" si="2"/>
        <v/>
      </c>
      <c r="N6" t="str">
        <f t="shared" si="3"/>
        <v/>
      </c>
      <c r="O6" t="str">
        <f t="shared" si="4"/>
        <v/>
      </c>
      <c r="T6" t="str">
        <f t="shared" si="5"/>
        <v>待测试</v>
      </c>
    </row>
    <row r="7" spans="1:21">
      <c r="A7">
        <v>6</v>
      </c>
      <c r="K7" t="str">
        <f t="shared" si="0"/>
        <v/>
      </c>
      <c r="L7" t="str">
        <f t="shared" si="1"/>
        <v/>
      </c>
      <c r="M7" t="str">
        <f t="shared" si="2"/>
        <v/>
      </c>
      <c r="N7" t="str">
        <f t="shared" si="3"/>
        <v/>
      </c>
      <c r="O7" t="str">
        <f t="shared" si="4"/>
        <v/>
      </c>
      <c r="T7" t="str">
        <f t="shared" si="5"/>
        <v>待测试</v>
      </c>
    </row>
    <row r="8" spans="1:21">
      <c r="A8">
        <v>7</v>
      </c>
      <c r="K8" t="str">
        <f t="shared" si="0"/>
        <v/>
      </c>
      <c r="L8" t="str">
        <f t="shared" si="1"/>
        <v/>
      </c>
      <c r="M8" t="str">
        <f t="shared" si="2"/>
        <v/>
      </c>
      <c r="N8" t="str">
        <f t="shared" si="3"/>
        <v/>
      </c>
      <c r="O8" t="str">
        <f t="shared" si="4"/>
        <v/>
      </c>
      <c r="T8" t="str">
        <f t="shared" si="5"/>
        <v>待测试</v>
      </c>
    </row>
    <row r="9" spans="1:21">
      <c r="A9">
        <v>8</v>
      </c>
      <c r="K9" t="str">
        <f t="shared" si="0"/>
        <v/>
      </c>
      <c r="L9" t="str">
        <f t="shared" si="1"/>
        <v/>
      </c>
      <c r="M9" t="str">
        <f t="shared" si="2"/>
        <v/>
      </c>
      <c r="N9" t="str">
        <f t="shared" si="3"/>
        <v/>
      </c>
      <c r="O9" t="str">
        <f t="shared" si="4"/>
        <v/>
      </c>
      <c r="T9" t="str">
        <f t="shared" si="5"/>
        <v>待测试</v>
      </c>
    </row>
    <row r="10" spans="1:21">
      <c r="A10">
        <v>9</v>
      </c>
      <c r="K10" t="str">
        <f t="shared" si="0"/>
        <v/>
      </c>
      <c r="L10" t="str">
        <f t="shared" si="1"/>
        <v/>
      </c>
      <c r="M10" t="str">
        <f t="shared" si="2"/>
        <v/>
      </c>
      <c r="N10" t="str">
        <f t="shared" si="3"/>
        <v/>
      </c>
      <c r="O10" t="str">
        <f t="shared" si="4"/>
        <v/>
      </c>
      <c r="T10" t="str">
        <f t="shared" si="5"/>
        <v>待测试</v>
      </c>
    </row>
    <row r="11" spans="1:21">
      <c r="A11">
        <v>10</v>
      </c>
      <c r="K11" t="str">
        <f t="shared" si="0"/>
        <v/>
      </c>
      <c r="L11" t="str">
        <f t="shared" si="1"/>
        <v/>
      </c>
      <c r="M11" t="str">
        <f t="shared" si="2"/>
        <v/>
      </c>
      <c r="N11" t="str">
        <f t="shared" si="3"/>
        <v/>
      </c>
      <c r="O11" t="str">
        <f t="shared" si="4"/>
        <v/>
      </c>
      <c r="T11" t="str">
        <f t="shared" si="5"/>
        <v>待测试</v>
      </c>
    </row>
    <row r="12" spans="1:21">
      <c r="A12">
        <v>11</v>
      </c>
      <c r="K12" t="str">
        <f t="shared" si="0"/>
        <v/>
      </c>
      <c r="L12" t="str">
        <f t="shared" si="1"/>
        <v/>
      </c>
      <c r="M12" t="str">
        <f t="shared" si="2"/>
        <v/>
      </c>
      <c r="N12" t="str">
        <f t="shared" si="3"/>
        <v/>
      </c>
      <c r="O12" t="str">
        <f t="shared" si="4"/>
        <v/>
      </c>
      <c r="T12" t="str">
        <f t="shared" si="5"/>
        <v>待测试</v>
      </c>
    </row>
    <row r="13" spans="1:21">
      <c r="A13">
        <v>12</v>
      </c>
      <c r="K13" t="str">
        <f t="shared" si="0"/>
        <v/>
      </c>
      <c r="L13" t="str">
        <f t="shared" si="1"/>
        <v/>
      </c>
      <c r="M13" t="str">
        <f t="shared" si="2"/>
        <v/>
      </c>
      <c r="N13" t="str">
        <f t="shared" si="3"/>
        <v/>
      </c>
      <c r="O13" t="str">
        <f t="shared" si="4"/>
        <v/>
      </c>
      <c r="T13" t="str">
        <f t="shared" si="5"/>
        <v>待测试</v>
      </c>
    </row>
    <row r="14" spans="1:21">
      <c r="A14">
        <v>13</v>
      </c>
      <c r="K14" t="str">
        <f t="shared" si="0"/>
        <v/>
      </c>
      <c r="L14" t="str">
        <f t="shared" si="1"/>
        <v/>
      </c>
      <c r="M14" t="str">
        <f t="shared" si="2"/>
        <v/>
      </c>
      <c r="N14" t="str">
        <f t="shared" si="3"/>
        <v/>
      </c>
      <c r="O14" t="str">
        <f t="shared" si="4"/>
        <v/>
      </c>
      <c r="T14" t="str">
        <f t="shared" si="5"/>
        <v>待测试</v>
      </c>
    </row>
    <row r="15" spans="1:21">
      <c r="A15">
        <v>14</v>
      </c>
      <c r="K15" t="str">
        <f t="shared" si="0"/>
        <v/>
      </c>
      <c r="L15" t="str">
        <f t="shared" si="1"/>
        <v/>
      </c>
      <c r="M15" t="str">
        <f t="shared" si="2"/>
        <v/>
      </c>
      <c r="N15" t="str">
        <f t="shared" si="3"/>
        <v/>
      </c>
      <c r="O15" t="str">
        <f t="shared" si="4"/>
        <v/>
      </c>
      <c r="T15" t="str">
        <f t="shared" si="5"/>
        <v>待测试</v>
      </c>
    </row>
    <row r="16" spans="1:21">
      <c r="A16">
        <v>15</v>
      </c>
      <c r="K16" t="str">
        <f t="shared" si="0"/>
        <v/>
      </c>
      <c r="L16" t="str">
        <f t="shared" si="1"/>
        <v/>
      </c>
      <c r="M16" t="str">
        <f t="shared" si="2"/>
        <v/>
      </c>
      <c r="N16" t="str">
        <f t="shared" si="3"/>
        <v/>
      </c>
      <c r="O16" t="str">
        <f t="shared" si="4"/>
        <v/>
      </c>
      <c r="T16" t="str">
        <f t="shared" si="5"/>
        <v>待测试</v>
      </c>
    </row>
    <row r="17" spans="1:20">
      <c r="A17">
        <v>16</v>
      </c>
      <c r="K17" t="str">
        <f t="shared" si="0"/>
        <v/>
      </c>
      <c r="L17" t="str">
        <f t="shared" si="1"/>
        <v/>
      </c>
      <c r="M17" t="str">
        <f t="shared" si="2"/>
        <v/>
      </c>
      <c r="N17" t="str">
        <f t="shared" si="3"/>
        <v/>
      </c>
      <c r="O17" t="str">
        <f t="shared" si="4"/>
        <v/>
      </c>
      <c r="T17" t="str">
        <f t="shared" si="5"/>
        <v>待测试</v>
      </c>
    </row>
    <row r="18" spans="1:20">
      <c r="A18">
        <v>17</v>
      </c>
      <c r="K18" t="str">
        <f t="shared" si="0"/>
        <v/>
      </c>
      <c r="L18" t="str">
        <f t="shared" si="1"/>
        <v/>
      </c>
      <c r="M18" t="str">
        <f t="shared" si="2"/>
        <v/>
      </c>
      <c r="N18" t="str">
        <f t="shared" si="3"/>
        <v/>
      </c>
      <c r="O18" t="str">
        <f t="shared" si="4"/>
        <v/>
      </c>
      <c r="T18" t="str">
        <f t="shared" si="5"/>
        <v>待测试</v>
      </c>
    </row>
    <row r="19" spans="1:20">
      <c r="A19">
        <v>18</v>
      </c>
      <c r="K19" t="str">
        <f t="shared" si="0"/>
        <v/>
      </c>
      <c r="L19" t="str">
        <f t="shared" si="1"/>
        <v/>
      </c>
      <c r="M19" t="str">
        <f t="shared" si="2"/>
        <v/>
      </c>
      <c r="N19" t="str">
        <f t="shared" si="3"/>
        <v/>
      </c>
      <c r="O19" t="str">
        <f t="shared" si="4"/>
        <v/>
      </c>
      <c r="T19" t="str">
        <f t="shared" si="5"/>
        <v>待测试</v>
      </c>
    </row>
    <row r="20" spans="1:20">
      <c r="A20">
        <v>19</v>
      </c>
      <c r="K20" t="str">
        <f t="shared" si="0"/>
        <v/>
      </c>
      <c r="L20" t="str">
        <f t="shared" si="1"/>
        <v/>
      </c>
      <c r="M20" t="str">
        <f t="shared" si="2"/>
        <v/>
      </c>
      <c r="N20" t="str">
        <f t="shared" si="3"/>
        <v/>
      </c>
      <c r="O20" t="str">
        <f t="shared" si="4"/>
        <v/>
      </c>
      <c r="T20" t="str">
        <f t="shared" si="5"/>
        <v>待测试</v>
      </c>
    </row>
    <row r="21" spans="1:20">
      <c r="A21">
        <v>20</v>
      </c>
      <c r="K21" t="str">
        <f t="shared" si="0"/>
        <v/>
      </c>
      <c r="L21" t="str">
        <f t="shared" si="1"/>
        <v/>
      </c>
      <c r="M21" t="str">
        <f t="shared" si="2"/>
        <v/>
      </c>
      <c r="N21" t="str">
        <f t="shared" si="3"/>
        <v/>
      </c>
      <c r="O21" t="str">
        <f t="shared" si="4"/>
        <v/>
      </c>
      <c r="T21" t="str">
        <f t="shared" si="5"/>
        <v>待测试</v>
      </c>
    </row>
    <row r="22" spans="1:20">
      <c r="A22">
        <v>21</v>
      </c>
      <c r="K22" t="str">
        <f t="shared" si="0"/>
        <v/>
      </c>
      <c r="L22" t="str">
        <f t="shared" si="1"/>
        <v/>
      </c>
      <c r="M22" t="str">
        <f t="shared" si="2"/>
        <v/>
      </c>
      <c r="N22" t="str">
        <f t="shared" si="3"/>
        <v/>
      </c>
      <c r="O22" t="str">
        <f t="shared" si="4"/>
        <v/>
      </c>
      <c r="T22" t="str">
        <f t="shared" si="5"/>
        <v>待测试</v>
      </c>
    </row>
    <row r="23" spans="1:20">
      <c r="A23">
        <v>22</v>
      </c>
      <c r="K23" t="str">
        <f t="shared" si="0"/>
        <v/>
      </c>
      <c r="L23" t="str">
        <f t="shared" si="1"/>
        <v/>
      </c>
      <c r="M23" t="str">
        <f t="shared" si="2"/>
        <v/>
      </c>
      <c r="N23" t="str">
        <f t="shared" si="3"/>
        <v/>
      </c>
      <c r="O23" t="str">
        <f t="shared" si="4"/>
        <v/>
      </c>
      <c r="T23" t="str">
        <f t="shared" si="5"/>
        <v>待测试</v>
      </c>
    </row>
    <row r="24" spans="1:20">
      <c r="A24">
        <v>23</v>
      </c>
      <c r="K24" t="str">
        <f t="shared" si="0"/>
        <v/>
      </c>
      <c r="L24" t="str">
        <f t="shared" si="1"/>
        <v/>
      </c>
      <c r="M24" t="str">
        <f t="shared" si="2"/>
        <v/>
      </c>
      <c r="N24" t="str">
        <f t="shared" si="3"/>
        <v/>
      </c>
      <c r="O24" t="str">
        <f t="shared" si="4"/>
        <v/>
      </c>
      <c r="T24" t="str">
        <f t="shared" si="5"/>
        <v>待测试</v>
      </c>
    </row>
    <row r="25" spans="1:20">
      <c r="A25">
        <v>24</v>
      </c>
      <c r="K25" t="str">
        <f t="shared" si="0"/>
        <v/>
      </c>
      <c r="L25" t="str">
        <f t="shared" si="1"/>
        <v/>
      </c>
      <c r="M25" t="str">
        <f t="shared" si="2"/>
        <v/>
      </c>
      <c r="N25" t="str">
        <f t="shared" si="3"/>
        <v/>
      </c>
      <c r="O25" t="str">
        <f t="shared" si="4"/>
        <v/>
      </c>
      <c r="T25" t="str">
        <f t="shared" si="5"/>
        <v>待测试</v>
      </c>
    </row>
    <row r="26" spans="1:20">
      <c r="A26">
        <v>25</v>
      </c>
      <c r="K26" t="str">
        <f t="shared" si="0"/>
        <v/>
      </c>
      <c r="L26" t="str">
        <f t="shared" si="1"/>
        <v/>
      </c>
      <c r="M26" t="str">
        <f t="shared" si="2"/>
        <v/>
      </c>
      <c r="N26" t="str">
        <f t="shared" si="3"/>
        <v/>
      </c>
      <c r="O26" t="str">
        <f t="shared" si="4"/>
        <v/>
      </c>
      <c r="T26" t="str">
        <f t="shared" si="5"/>
        <v>待测试</v>
      </c>
    </row>
    <row r="27" spans="1:20">
      <c r="A27">
        <v>26</v>
      </c>
      <c r="K27" t="str">
        <f t="shared" si="0"/>
        <v/>
      </c>
      <c r="L27" t="str">
        <f t="shared" si="1"/>
        <v/>
      </c>
      <c r="M27" t="str">
        <f t="shared" si="2"/>
        <v/>
      </c>
      <c r="N27" t="str">
        <f t="shared" si="3"/>
        <v/>
      </c>
      <c r="O27" t="str">
        <f t="shared" si="4"/>
        <v/>
      </c>
      <c r="T27" t="str">
        <f t="shared" si="5"/>
        <v>待测试</v>
      </c>
    </row>
    <row r="28" spans="1:20">
      <c r="A28">
        <v>27</v>
      </c>
      <c r="K28" t="str">
        <f t="shared" si="0"/>
        <v/>
      </c>
      <c r="L28" t="str">
        <f t="shared" si="1"/>
        <v/>
      </c>
      <c r="M28" t="str">
        <f t="shared" si="2"/>
        <v/>
      </c>
      <c r="N28" t="str">
        <f t="shared" si="3"/>
        <v/>
      </c>
      <c r="O28" t="str">
        <f t="shared" si="4"/>
        <v/>
      </c>
      <c r="T28" t="str">
        <f t="shared" si="5"/>
        <v>待测试</v>
      </c>
    </row>
    <row r="29" spans="1:20">
      <c r="A29">
        <v>28</v>
      </c>
      <c r="K29" t="str">
        <f t="shared" si="0"/>
        <v/>
      </c>
      <c r="L29" t="str">
        <f t="shared" si="1"/>
        <v/>
      </c>
      <c r="M29" t="str">
        <f t="shared" si="2"/>
        <v/>
      </c>
      <c r="N29" t="str">
        <f t="shared" si="3"/>
        <v/>
      </c>
      <c r="O29" t="str">
        <f t="shared" si="4"/>
        <v/>
      </c>
      <c r="T29" t="str">
        <f t="shared" si="5"/>
        <v>待测试</v>
      </c>
    </row>
    <row r="30" spans="1:20">
      <c r="A30">
        <v>29</v>
      </c>
      <c r="K30" t="str">
        <f t="shared" si="0"/>
        <v/>
      </c>
      <c r="L30" t="str">
        <f t="shared" si="1"/>
        <v/>
      </c>
      <c r="M30" t="str">
        <f t="shared" si="2"/>
        <v/>
      </c>
      <c r="N30" t="str">
        <f t="shared" si="3"/>
        <v/>
      </c>
      <c r="O30" t="str">
        <f t="shared" si="4"/>
        <v/>
      </c>
      <c r="T30" t="str">
        <f t="shared" si="5"/>
        <v>待测试</v>
      </c>
    </row>
    <row r="31" spans="1:20">
      <c r="A31">
        <v>30</v>
      </c>
      <c r="K31" t="str">
        <f t="shared" si="0"/>
        <v/>
      </c>
      <c r="L31" t="str">
        <f t="shared" si="1"/>
        <v/>
      </c>
      <c r="M31" t="str">
        <f t="shared" si="2"/>
        <v/>
      </c>
      <c r="N31" t="str">
        <f t="shared" si="3"/>
        <v/>
      </c>
      <c r="O31" t="str">
        <f t="shared" si="4"/>
        <v/>
      </c>
      <c r="T31" t="str">
        <f t="shared" si="5"/>
        <v>待测试</v>
      </c>
    </row>
  </sheetData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3.5" outlineLevelRow="7"/>
  <cols>
    <col min="1" max="1" width="70" customWidth="1"/>
  </cols>
  <sheetData>
    <row r="1" spans="1:1">
      <c r="A1" t="s">
        <v>149</v>
      </c>
    </row>
    <row r="2" spans="1:1">
      <c r="A2" t="s">
        <v>2</v>
      </c>
    </row>
    <row r="3" spans="1:1">
      <c r="A3" t="s">
        <v>150</v>
      </c>
    </row>
    <row r="4" spans="1:1">
      <c r="A4" t="s">
        <v>151</v>
      </c>
    </row>
    <row r="5" spans="1:1">
      <c r="A5" t="s">
        <v>152</v>
      </c>
    </row>
    <row r="6" spans="1:1">
      <c r="A6" t="s">
        <v>153</v>
      </c>
    </row>
    <row r="7" spans="1:1">
      <c r="A7" t="s">
        <v>2</v>
      </c>
    </row>
    <row r="8" spans="1:1">
      <c r="A8" t="s">
        <v>154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1-分佣逻辑(先看)</vt:lpstr>
      <vt:lpstr>3-餐饮折扣(填数自动算)</vt:lpstr>
      <vt:lpstr>4-通用券CPS(填数自动算)</vt:lpstr>
      <vt:lpstr>5-场景答案速查</vt:lpstr>
      <vt:lpstr>6-测试记录(边测边填)</vt:lpstr>
      <vt:lpstr>7-使用说明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  菊菊菊菊菊</cp:lastModifiedBy>
  <dcterms:created xsi:type="dcterms:W3CDTF">2026-03-17T08:29:00Z</dcterms:created>
  <dcterms:modified xsi:type="dcterms:W3CDTF">2026-03-17T08:41:58Z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8EF6AE3882594738A9A45CB7B46EF8CD_12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